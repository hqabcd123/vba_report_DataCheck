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_ip\Desktop\VScode_vba\Hyber_link\"/>
    </mc:Choice>
  </mc:AlternateContent>
  <bookViews>
    <workbookView xWindow="0" yWindow="0" windowWidth="19200" windowHeight="8340"/>
  </bookViews>
  <sheets>
    <sheet name="条件表" sheetId="23" r:id="rId1"/>
    <sheet name="Sheet1" sheetId="25" r:id="rId2"/>
    <sheet name="Sheet2" sheetId="26" r:id="rId3"/>
    <sheet name="ｺﾒﾝﾄ" sheetId="3" r:id="rId4"/>
    <sheet name="処理方法" sheetId="8" r:id="rId5"/>
    <sheet name="表面粗さﾃﾞｰﾀ(JIS1994)" sheetId="4" r:id="rId6"/>
    <sheet name="社内用" sheetId="20" r:id="rId7"/>
    <sheet name="社内用(2)" sheetId="18" r:id="rId8"/>
    <sheet name="(社内用)表面粗さ計測条件記入ｼｰﾄ " sheetId="22" r:id="rId9"/>
    <sheet name="【変更不可】" sheetId="24" r:id="rId10"/>
  </sheets>
  <definedNames>
    <definedName name="_xlnm._FilterDatabase" localSheetId="9" hidden="1">【変更不可】!$H$6:$AF$439</definedName>
    <definedName name="_xlnm.Print_Area" localSheetId="8">'(社内用)表面粗さ計測条件記入ｼｰﾄ '!$B$1:$H$65</definedName>
    <definedName name="_xlnm.Print_Area" localSheetId="3">ｺﾒﾝﾄ!$B$2:$S$37</definedName>
    <definedName name="_xlnm.Print_Area" localSheetId="0">条件表!$B$1:$P$21</definedName>
    <definedName name="研磨材名称" localSheetId="9">【変更不可】!$B$7:$B$74</definedName>
    <definedName name="研磨材名称" localSheetId="6">#REF!</definedName>
    <definedName name="研磨材名称" localSheetId="0">【変更不可】!$B$7:$B$74</definedName>
    <definedName name="研磨材名称">#REF!</definedName>
  </definedNames>
  <calcPr calcId="162913"/>
</workbook>
</file>

<file path=xl/calcChain.xml><?xml version="1.0" encoding="utf-8"?>
<calcChain xmlns="http://schemas.openxmlformats.org/spreadsheetml/2006/main">
  <c r="E17" i="23" l="1"/>
  <c r="E20" i="23" l="1"/>
  <c r="E18" i="23"/>
  <c r="E16" i="23"/>
  <c r="G20" i="23" l="1"/>
  <c r="F20" i="23"/>
  <c r="G18" i="23"/>
  <c r="F18" i="23"/>
  <c r="G17" i="23"/>
  <c r="F17" i="23"/>
  <c r="K16" i="23"/>
  <c r="G16" i="23"/>
  <c r="F16" i="23"/>
  <c r="R8" i="20" l="1"/>
  <c r="R9" i="20"/>
  <c r="R10" i="20"/>
  <c r="R11" i="20"/>
  <c r="R12" i="20"/>
  <c r="R13" i="20"/>
  <c r="R14" i="20"/>
  <c r="R15" i="20"/>
  <c r="R16" i="20"/>
  <c r="R17" i="20"/>
  <c r="N17" i="23" l="1"/>
  <c r="N18" i="23"/>
  <c r="N20" i="23"/>
  <c r="J9" i="20"/>
  <c r="K9" i="20"/>
  <c r="L9" i="20"/>
  <c r="M9" i="20"/>
  <c r="N9" i="20"/>
  <c r="O9" i="20"/>
  <c r="J10" i="20"/>
  <c r="K10" i="20"/>
  <c r="L10" i="20"/>
  <c r="M10" i="20"/>
  <c r="N10" i="20"/>
  <c r="O10" i="20"/>
  <c r="J11" i="20"/>
  <c r="K11" i="20"/>
  <c r="L11" i="20"/>
  <c r="M11" i="20"/>
  <c r="N11" i="20"/>
  <c r="O11" i="20"/>
  <c r="J12" i="20"/>
  <c r="K12" i="20"/>
  <c r="L12" i="20"/>
  <c r="M12" i="20"/>
  <c r="N12" i="20"/>
  <c r="O12" i="20"/>
  <c r="J13" i="20"/>
  <c r="K13" i="20"/>
  <c r="L13" i="20"/>
  <c r="M13" i="20"/>
  <c r="N13" i="20"/>
  <c r="O13" i="20"/>
  <c r="J14" i="20"/>
  <c r="K14" i="20"/>
  <c r="L14" i="20"/>
  <c r="M14" i="20"/>
  <c r="N14" i="20"/>
  <c r="O14" i="20"/>
  <c r="J15" i="20"/>
  <c r="K15" i="20"/>
  <c r="L15" i="20"/>
  <c r="M15" i="20"/>
  <c r="N15" i="20"/>
  <c r="O15" i="20"/>
  <c r="J16" i="20"/>
  <c r="K16" i="20"/>
  <c r="L16" i="20"/>
  <c r="M16" i="20"/>
  <c r="N16" i="20"/>
  <c r="O16" i="20"/>
  <c r="J17" i="20"/>
  <c r="K17" i="20"/>
  <c r="L17" i="20"/>
  <c r="M17" i="20"/>
  <c r="N17" i="20"/>
  <c r="O17" i="20"/>
  <c r="O8" i="20"/>
  <c r="N8" i="20"/>
  <c r="M8" i="20"/>
  <c r="L8" i="20"/>
  <c r="K8" i="20"/>
  <c r="J8" i="20"/>
  <c r="N16" i="23"/>
  <c r="J34" i="20" l="1"/>
  <c r="J35" i="20"/>
  <c r="J33" i="20"/>
  <c r="S34" i="20"/>
  <c r="S35" i="20"/>
  <c r="S33" i="20"/>
  <c r="AB34" i="20"/>
  <c r="AB35" i="20"/>
  <c r="AB33" i="20"/>
  <c r="U27" i="20" l="1"/>
  <c r="K27" i="20"/>
  <c r="L27" i="20"/>
  <c r="M27" i="20"/>
  <c r="N27" i="20"/>
  <c r="O27" i="20"/>
  <c r="P27" i="20"/>
  <c r="Q27" i="20"/>
  <c r="R27" i="20"/>
  <c r="S27" i="20"/>
  <c r="T27" i="20"/>
  <c r="V27" i="20"/>
  <c r="AB36" i="20" l="1"/>
  <c r="X36" i="20"/>
  <c r="W36" i="20"/>
  <c r="V36" i="20"/>
  <c r="S36" i="20"/>
  <c r="O36" i="20"/>
  <c r="N36" i="20"/>
  <c r="M36" i="20"/>
  <c r="J36" i="20"/>
  <c r="F36" i="20"/>
  <c r="E36" i="20"/>
  <c r="D36" i="20"/>
  <c r="J27" i="20"/>
  <c r="I27" i="20"/>
  <c r="H27" i="20"/>
  <c r="G27" i="20"/>
  <c r="F27" i="20"/>
  <c r="E27" i="20"/>
  <c r="D27" i="20"/>
  <c r="C27" i="20"/>
  <c r="AI37" i="4"/>
  <c r="AH37" i="4"/>
  <c r="AG37" i="4"/>
  <c r="AB37" i="4"/>
  <c r="AA37" i="4"/>
  <c r="Z37" i="4"/>
  <c r="U37" i="4"/>
  <c r="T37" i="4"/>
  <c r="S37" i="4"/>
  <c r="N37" i="4"/>
  <c r="M37" i="4"/>
  <c r="L37" i="4"/>
  <c r="G37" i="4"/>
  <c r="F37" i="4"/>
  <c r="E37" i="4"/>
  <c r="AI30" i="4"/>
  <c r="AH30" i="4"/>
  <c r="AG30" i="4"/>
  <c r="AB30" i="4"/>
  <c r="AA30" i="4"/>
  <c r="Z30" i="4"/>
  <c r="U30" i="4"/>
  <c r="T30" i="4"/>
  <c r="S30" i="4"/>
  <c r="N30" i="4"/>
  <c r="M30" i="4"/>
  <c r="L30" i="4"/>
  <c r="G30" i="4"/>
  <c r="F30" i="4"/>
  <c r="E30" i="4"/>
  <c r="AI23" i="4"/>
  <c r="AH23" i="4"/>
  <c r="AG23" i="4"/>
  <c r="AB23" i="4"/>
  <c r="AA23" i="4"/>
  <c r="Z23" i="4"/>
  <c r="U23" i="4"/>
  <c r="T23" i="4"/>
  <c r="S23" i="4"/>
  <c r="N23" i="4"/>
  <c r="M23" i="4"/>
  <c r="L23" i="4"/>
  <c r="G23" i="4"/>
  <c r="F23" i="4"/>
  <c r="E23" i="4"/>
  <c r="AI16" i="4"/>
  <c r="AH16" i="4"/>
  <c r="AG16" i="4"/>
  <c r="AB16" i="4"/>
  <c r="AA16" i="4"/>
  <c r="Z16" i="4"/>
  <c r="U16" i="4"/>
  <c r="T16" i="4"/>
  <c r="S16" i="4"/>
  <c r="N16" i="4"/>
  <c r="M16" i="4"/>
  <c r="L16" i="4"/>
  <c r="G16" i="4"/>
  <c r="F16" i="4"/>
  <c r="E16" i="4"/>
  <c r="AI9" i="4"/>
  <c r="AH9" i="4"/>
  <c r="AG9" i="4"/>
  <c r="AB9" i="4"/>
  <c r="AA9" i="4"/>
  <c r="Z9" i="4"/>
  <c r="U9" i="4"/>
  <c r="T9" i="4"/>
  <c r="S9" i="4"/>
  <c r="N9" i="4"/>
  <c r="M9" i="4"/>
  <c r="L9" i="4"/>
  <c r="G9" i="4"/>
  <c r="F9" i="4"/>
  <c r="E9" i="4"/>
  <c r="K20" i="23"/>
  <c r="K18" i="23"/>
  <c r="K17" i="23"/>
</calcChain>
</file>

<file path=xl/comments1.xml><?xml version="1.0" encoding="utf-8"?>
<comments xmlns="http://schemas.openxmlformats.org/spreadsheetml/2006/main">
  <authors>
    <author>早川 拓巳</author>
  </authors>
  <commentList>
    <comment ref="R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個別テストごとの目的を記入
</t>
        </r>
      </text>
    </comment>
    <comment ref="R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片面 or 両面
一部処理など</t>
        </r>
      </text>
    </comment>
    <comment ref="R1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時間or速度
装置構成を見越して記入する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工程登録されている装置で目的としている処理が可能か確認する。
不可ならできるだけ早く工程管理者と相談する。</t>
        </r>
      </text>
    </comment>
    <comment ref="R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選定理由もあるとベター
</t>
        </r>
      </text>
    </comment>
    <comment ref="R1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選定理由もあるとベター。
明確な理由なく、営業の指示通りはNG。</t>
        </r>
      </text>
    </comment>
    <comment ref="R15" authorId="0" shapeId="0">
      <text/>
    </comment>
    <comment ref="R1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お客様に評価いただく条件数</t>
        </r>
      </text>
    </comment>
    <comment ref="R1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条件出しに必要な数も考慮し検討する</t>
        </r>
      </text>
    </comment>
    <comment ref="R1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テストの中で変えない条件</t>
        </r>
      </text>
    </comment>
    <comment ref="R2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テストの中で変更する（可能性がある）条件</t>
        </r>
      </text>
    </comment>
    <comment ref="R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要否・内容</t>
        </r>
      </text>
    </comment>
    <comment ref="R2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テスト準備-完了まで
工程表の工程と合致しない場合は工程管理者に相談</t>
        </r>
      </text>
    </comment>
  </commentList>
</comments>
</file>

<file path=xl/sharedStrings.xml><?xml version="1.0" encoding="utf-8"?>
<sst xmlns="http://schemas.openxmlformats.org/spreadsheetml/2006/main" count="8529" uniqueCount="624">
  <si>
    <t>実施日</t>
    <rPh sb="0" eb="2">
      <t>ジッシ</t>
    </rPh>
    <rPh sb="2" eb="3">
      <t>ヒ</t>
    </rPh>
    <phoneticPr fontId="10"/>
  </si>
  <si>
    <t>確認</t>
    <rPh sb="0" eb="2">
      <t>カクニン</t>
    </rPh>
    <phoneticPr fontId="10"/>
  </si>
  <si>
    <t>作成</t>
    <rPh sb="0" eb="2">
      <t>サクセイ</t>
    </rPh>
    <phoneticPr fontId="10"/>
  </si>
  <si>
    <t>営業担当</t>
    <rPh sb="0" eb="2">
      <t>エイギョウ</t>
    </rPh>
    <rPh sb="2" eb="4">
      <t>タントウ</t>
    </rPh>
    <phoneticPr fontId="10"/>
  </si>
  <si>
    <t>代理店名</t>
    <rPh sb="0" eb="2">
      <t>ダイリ</t>
    </rPh>
    <rPh sb="2" eb="3">
      <t>テン</t>
    </rPh>
    <rPh sb="3" eb="4">
      <t>メイ</t>
    </rPh>
    <phoneticPr fontId="10"/>
  </si>
  <si>
    <t>処理担当</t>
    <rPh sb="0" eb="2">
      <t>ショリ</t>
    </rPh>
    <rPh sb="2" eb="4">
      <t>タントウ</t>
    </rPh>
    <phoneticPr fontId="10"/>
  </si>
  <si>
    <t>研磨材</t>
    <rPh sb="0" eb="3">
      <t>ケンマザイ</t>
    </rPh>
    <phoneticPr fontId="10"/>
  </si>
  <si>
    <t>材質</t>
    <rPh sb="0" eb="2">
      <t>ザイシツ</t>
    </rPh>
    <phoneticPr fontId="10"/>
  </si>
  <si>
    <t>粒径 μm</t>
    <rPh sb="0" eb="1">
      <t>リュウド</t>
    </rPh>
    <rPh sb="1" eb="2">
      <t>ケイ</t>
    </rPh>
    <phoneticPr fontId="10"/>
  </si>
  <si>
    <t>濃度 vol%</t>
    <rPh sb="0" eb="2">
      <t>ノウド</t>
    </rPh>
    <phoneticPr fontId="10"/>
  </si>
  <si>
    <t>形状</t>
    <rPh sb="0" eb="2">
      <t>ケイジョウ</t>
    </rPh>
    <phoneticPr fontId="10"/>
  </si>
  <si>
    <t>備考</t>
    <rPh sb="0" eb="2">
      <t>ビコウ</t>
    </rPh>
    <phoneticPr fontId="10"/>
  </si>
  <si>
    <t>装置</t>
    <rPh sb="0" eb="2">
      <t>ソウチ</t>
    </rPh>
    <phoneticPr fontId="10"/>
  </si>
  <si>
    <t>研磨材名称</t>
    <rPh sb="0" eb="3">
      <t>ケンマザイ</t>
    </rPh>
    <rPh sb="3" eb="5">
      <t>メイショウ</t>
    </rPh>
    <phoneticPr fontId="10"/>
  </si>
  <si>
    <t>お客様立会</t>
    <rPh sb="1" eb="3">
      <t>キャクサマ</t>
    </rPh>
    <rPh sb="3" eb="5">
      <t>タチアイ</t>
    </rPh>
    <phoneticPr fontId="10"/>
  </si>
  <si>
    <t>テスト担当</t>
    <rPh sb="3" eb="5">
      <t>タントウ</t>
    </rPh>
    <phoneticPr fontId="10"/>
  </si>
  <si>
    <t>　　</t>
    <phoneticPr fontId="10"/>
  </si>
  <si>
    <t>2015/**/**</t>
    <phoneticPr fontId="10"/>
  </si>
  <si>
    <t>サンプルテスト　コメント</t>
    <phoneticPr fontId="10"/>
  </si>
  <si>
    <t>表面粗さ 計測データ</t>
    <rPh sb="0" eb="2">
      <t>ヒョウメン</t>
    </rPh>
    <rPh sb="2" eb="3">
      <t>アラ</t>
    </rPh>
    <rPh sb="5" eb="7">
      <t>ケイソク</t>
    </rPh>
    <phoneticPr fontId="10"/>
  </si>
  <si>
    <t>ｴｱ圧
（R圧）
[MPa]</t>
    <rPh sb="2" eb="3">
      <t>アツ</t>
    </rPh>
    <rPh sb="6" eb="7">
      <t>アツ</t>
    </rPh>
    <phoneticPr fontId="10"/>
  </si>
  <si>
    <t>ﾎﾟﾝﾌﾟ圧
[MPa]</t>
    <rPh sb="5" eb="6">
      <t>アツ</t>
    </rPh>
    <phoneticPr fontId="10"/>
  </si>
  <si>
    <t>ｽﾗﾘｰ流量
[L/min]</t>
    <rPh sb="4" eb="6">
      <t>リュウリョウ</t>
    </rPh>
    <phoneticPr fontId="10"/>
  </si>
  <si>
    <t>投入量
[kg]</t>
    <rPh sb="0" eb="2">
      <t>トウニュウ</t>
    </rPh>
    <rPh sb="2" eb="3">
      <t>リョウ</t>
    </rPh>
    <phoneticPr fontId="10"/>
  </si>
  <si>
    <t>濃度
[vol%]</t>
    <rPh sb="0" eb="2">
      <t>ノウド</t>
    </rPh>
    <phoneticPr fontId="10"/>
  </si>
  <si>
    <t>ｺﾒﾝﾄ</t>
    <phoneticPr fontId="10"/>
  </si>
  <si>
    <t>条件No.</t>
    <rPh sb="0" eb="2">
      <t>ジョウケン</t>
    </rPh>
    <phoneticPr fontId="10"/>
  </si>
  <si>
    <t>Ave.</t>
    <phoneticPr fontId="10"/>
  </si>
  <si>
    <t>計測器</t>
    <rPh sb="0" eb="3">
      <t>ケイソクキ</t>
    </rPh>
    <phoneticPr fontId="10"/>
  </si>
  <si>
    <t>触</t>
    <rPh sb="0" eb="1">
      <t>ショク</t>
    </rPh>
    <phoneticPr fontId="10"/>
  </si>
  <si>
    <t>ﾚ</t>
    <phoneticPr fontId="10"/>
  </si>
  <si>
    <t>ﾎﾟﾝﾌﾟ
周波数
[Hz]</t>
    <rPh sb="6" eb="9">
      <t>シュウハスウ</t>
    </rPh>
    <phoneticPr fontId="10"/>
  </si>
  <si>
    <t>条件
No.</t>
    <rPh sb="0" eb="2">
      <t>ジョウケン</t>
    </rPh>
    <phoneticPr fontId="10"/>
  </si>
  <si>
    <t>　</t>
  </si>
  <si>
    <t>防錆</t>
    <rPh sb="0" eb="2">
      <t>ボウセイ</t>
    </rPh>
    <phoneticPr fontId="10"/>
  </si>
  <si>
    <t>○社内用</t>
    <rPh sb="1" eb="4">
      <t>シャナイヨウ</t>
    </rPh>
    <phoneticPr fontId="22"/>
  </si>
  <si>
    <t>・セルの結合可（但し、送信時に分割されます）</t>
    <rPh sb="4" eb="6">
      <t>ケツゴウ</t>
    </rPh>
    <rPh sb="6" eb="7">
      <t>カ</t>
    </rPh>
    <rPh sb="8" eb="9">
      <t>タダ</t>
    </rPh>
    <rPh sb="11" eb="13">
      <t>ソウシン</t>
    </rPh>
    <rPh sb="13" eb="14">
      <t>ジ</t>
    </rPh>
    <rPh sb="15" eb="17">
      <t>ブンカツ</t>
    </rPh>
    <phoneticPr fontId="22"/>
  </si>
  <si>
    <t>・日付のセルは空白にしないこと（空白になっているセルの上の行までを送信します。）</t>
    <rPh sb="1" eb="3">
      <t>ヒヅケ</t>
    </rPh>
    <rPh sb="7" eb="9">
      <t>クウハク</t>
    </rPh>
    <rPh sb="16" eb="18">
      <t>クウハク</t>
    </rPh>
    <rPh sb="27" eb="28">
      <t>ウエ</t>
    </rPh>
    <rPh sb="29" eb="30">
      <t>ギョウ</t>
    </rPh>
    <rPh sb="33" eb="35">
      <t>ソウシン</t>
    </rPh>
    <phoneticPr fontId="22"/>
  </si>
  <si>
    <t>日付</t>
    <rPh sb="0" eb="2">
      <t>ヒヅケ</t>
    </rPh>
    <phoneticPr fontId="22"/>
  </si>
  <si>
    <t>会社名</t>
    <rPh sb="0" eb="3">
      <t>カイシャメイ</t>
    </rPh>
    <phoneticPr fontId="22"/>
  </si>
  <si>
    <t>ｶﾞﾝ名称</t>
    <rPh sb="3" eb="5">
      <t>メイショウ</t>
    </rPh>
    <phoneticPr fontId="22"/>
  </si>
  <si>
    <r>
      <t>A</t>
    </r>
    <r>
      <rPr>
        <sz val="10"/>
        <color theme="1"/>
        <rFont val="ＭＳ Ｐゴシック"/>
        <family val="2"/>
        <charset val="128"/>
        <scheme val="minor"/>
      </rPr>
      <t>J</t>
    </r>
    <r>
      <rPr>
        <sz val="10"/>
        <color theme="1"/>
        <rFont val="ＭＳ Ｐゴシック"/>
        <family val="2"/>
        <charset val="128"/>
        <scheme val="minor"/>
      </rPr>
      <t>径
[mm]</t>
    </r>
    <rPh sb="2" eb="3">
      <t>ケイ</t>
    </rPh>
    <phoneticPr fontId="22"/>
  </si>
  <si>
    <t>玉有 or 玉無</t>
    <rPh sb="0" eb="1">
      <t>タマ</t>
    </rPh>
    <rPh sb="1" eb="2">
      <t>アリ</t>
    </rPh>
    <rPh sb="6" eb="7">
      <t>タマ</t>
    </rPh>
    <rPh sb="7" eb="8">
      <t>ナシ</t>
    </rPh>
    <phoneticPr fontId="22"/>
  </si>
  <si>
    <t>SJ・SS径
ｽﾗﾘｰ導入径
[mm]</t>
    <rPh sb="5" eb="6">
      <t>ケイ</t>
    </rPh>
    <rPh sb="11" eb="13">
      <t>ドウニュウ</t>
    </rPh>
    <rPh sb="13" eb="14">
      <t>ケイ</t>
    </rPh>
    <phoneticPr fontId="22"/>
  </si>
  <si>
    <t>ｴｱ内圧
[MPa]</t>
    <rPh sb="2" eb="4">
      <t>ナイアツ</t>
    </rPh>
    <phoneticPr fontId="10"/>
  </si>
  <si>
    <t>ｽﾗﾘｰ内圧
[MPa]</t>
    <rPh sb="4" eb="6">
      <t>ナイアツ</t>
    </rPh>
    <phoneticPr fontId="22"/>
  </si>
  <si>
    <t>備考</t>
    <rPh sb="0" eb="2">
      <t>ビコウ</t>
    </rPh>
    <phoneticPr fontId="22"/>
  </si>
  <si>
    <t>Ra</t>
    <phoneticPr fontId="10"/>
  </si>
  <si>
    <t>Rz</t>
    <phoneticPr fontId="10"/>
  </si>
  <si>
    <t>RzJIS</t>
    <phoneticPr fontId="10"/>
  </si>
  <si>
    <t>社内用 ﾃｽﾄ情報</t>
    <rPh sb="0" eb="3">
      <t>シャナイヨウ</t>
    </rPh>
    <rPh sb="7" eb="9">
      <t>ジョウホウ</t>
    </rPh>
    <phoneticPr fontId="22"/>
  </si>
  <si>
    <t>実施日</t>
    <rPh sb="0" eb="3">
      <t>ジッシビ</t>
    </rPh>
    <phoneticPr fontId="22"/>
  </si>
  <si>
    <t>担当者</t>
    <rPh sb="0" eb="3">
      <t>タントウシャ</t>
    </rPh>
    <phoneticPr fontId="22"/>
  </si>
  <si>
    <t>▼今回テストの詳細</t>
    <rPh sb="1" eb="3">
      <t>コンカイ</t>
    </rPh>
    <rPh sb="7" eb="9">
      <t>ショウサイ</t>
    </rPh>
    <phoneticPr fontId="22"/>
  </si>
  <si>
    <t>内容</t>
    <rPh sb="0" eb="2">
      <t>ナイヨウ</t>
    </rPh>
    <phoneticPr fontId="22"/>
  </si>
  <si>
    <t>項目</t>
    <rPh sb="0" eb="2">
      <t>コウモク</t>
    </rPh>
    <phoneticPr fontId="22"/>
  </si>
  <si>
    <t>特記事項</t>
    <rPh sb="0" eb="2">
      <t>トッキ</t>
    </rPh>
    <rPh sb="2" eb="4">
      <t>ジコウ</t>
    </rPh>
    <phoneticPr fontId="22"/>
  </si>
  <si>
    <t>ワーク固定</t>
    <rPh sb="3" eb="5">
      <t>コテイ</t>
    </rPh>
    <phoneticPr fontId="22"/>
  </si>
  <si>
    <t>パンチング直置き</t>
    <rPh sb="5" eb="7">
      <t>ジカオ</t>
    </rPh>
    <phoneticPr fontId="22"/>
  </si>
  <si>
    <t>両面テープ</t>
    <rPh sb="0" eb="2">
      <t>リョウメン</t>
    </rPh>
    <phoneticPr fontId="22"/>
  </si>
  <si>
    <t>端部テープ貼付</t>
    <rPh sb="0" eb="2">
      <t>タンブ</t>
    </rPh>
    <rPh sb="5" eb="7">
      <t>チョウフ</t>
    </rPh>
    <phoneticPr fontId="22"/>
  </si>
  <si>
    <t>治具(写真撮影のこと)</t>
    <rPh sb="0" eb="2">
      <t>ジグ</t>
    </rPh>
    <rPh sb="3" eb="5">
      <t>シャシン</t>
    </rPh>
    <rPh sb="5" eb="7">
      <t>サツエイ</t>
    </rPh>
    <phoneticPr fontId="22"/>
  </si>
  <si>
    <t>その他</t>
    <rPh sb="2" eb="3">
      <t>タ</t>
    </rPh>
    <phoneticPr fontId="22"/>
  </si>
  <si>
    <t>水洗</t>
    <rPh sb="0" eb="2">
      <t>スイセン</t>
    </rPh>
    <phoneticPr fontId="22"/>
  </si>
  <si>
    <t>ウォッシュガン</t>
    <phoneticPr fontId="22"/>
  </si>
  <si>
    <t>2流体水洗</t>
    <rPh sb="1" eb="3">
      <t>リュウタイ</t>
    </rPh>
    <rPh sb="3" eb="5">
      <t>スイセン</t>
    </rPh>
    <phoneticPr fontId="22"/>
  </si>
  <si>
    <t>湯洗</t>
    <rPh sb="0" eb="1">
      <t>ユ</t>
    </rPh>
    <rPh sb="1" eb="2">
      <t>セン</t>
    </rPh>
    <phoneticPr fontId="22"/>
  </si>
  <si>
    <t>イオン交換水</t>
    <rPh sb="3" eb="5">
      <t>コウカン</t>
    </rPh>
    <rPh sb="5" eb="6">
      <t>スイ</t>
    </rPh>
    <phoneticPr fontId="22"/>
  </si>
  <si>
    <t>乾燥</t>
    <rPh sb="0" eb="2">
      <t>カンソウ</t>
    </rPh>
    <phoneticPr fontId="22"/>
  </si>
  <si>
    <t>エアブロー</t>
    <phoneticPr fontId="22"/>
  </si>
  <si>
    <t>ドライヤー</t>
    <phoneticPr fontId="22"/>
  </si>
  <si>
    <t>処理条件
選定理由</t>
    <rPh sb="0" eb="2">
      <t>ショリ</t>
    </rPh>
    <rPh sb="2" eb="4">
      <t>ジョウケン</t>
    </rPh>
    <rPh sb="5" eb="7">
      <t>センテイ</t>
    </rPh>
    <rPh sb="7" eb="9">
      <t>リユウ</t>
    </rPh>
    <phoneticPr fontId="22"/>
  </si>
  <si>
    <t>その他
気づいたこと
ノウハウ
取扱い
梱包等</t>
    <rPh sb="2" eb="3">
      <t>タ</t>
    </rPh>
    <rPh sb="4" eb="5">
      <t>キ</t>
    </rPh>
    <rPh sb="16" eb="18">
      <t>トリアツカ</t>
    </rPh>
    <rPh sb="20" eb="22">
      <t>コンポウ</t>
    </rPh>
    <rPh sb="22" eb="23">
      <t>トウ</t>
    </rPh>
    <phoneticPr fontId="22"/>
  </si>
  <si>
    <t>▼次回テストに向けた提案</t>
    <rPh sb="1" eb="3">
      <t>ジカイ</t>
    </rPh>
    <rPh sb="7" eb="8">
      <t>ム</t>
    </rPh>
    <rPh sb="10" eb="12">
      <t>テイアン</t>
    </rPh>
    <phoneticPr fontId="22"/>
  </si>
  <si>
    <t>変更項目</t>
    <rPh sb="0" eb="2">
      <t>ヘンコウ</t>
    </rPh>
    <rPh sb="2" eb="4">
      <t>コウモク</t>
    </rPh>
    <phoneticPr fontId="22"/>
  </si>
  <si>
    <t>変更内容および事由</t>
    <rPh sb="0" eb="2">
      <t>ヘンコウ</t>
    </rPh>
    <rPh sb="2" eb="4">
      <t>ナイヨウ</t>
    </rPh>
    <rPh sb="7" eb="9">
      <t>ジユウ</t>
    </rPh>
    <phoneticPr fontId="22"/>
  </si>
  <si>
    <t>研磨材</t>
    <rPh sb="0" eb="3">
      <t>ケンマザイ</t>
    </rPh>
    <phoneticPr fontId="22"/>
  </si>
  <si>
    <t>ガン</t>
    <phoneticPr fontId="22"/>
  </si>
  <si>
    <t>処理方法</t>
    <rPh sb="0" eb="2">
      <t>ショリ</t>
    </rPh>
    <rPh sb="2" eb="4">
      <t>ホウホウ</t>
    </rPh>
    <phoneticPr fontId="22"/>
  </si>
  <si>
    <t>水洗・乾燥</t>
    <rPh sb="0" eb="2">
      <t>スイセン</t>
    </rPh>
    <rPh sb="3" eb="5">
      <t>カンソウ</t>
    </rPh>
    <phoneticPr fontId="22"/>
  </si>
  <si>
    <t>その他
連絡事項</t>
    <rPh sb="2" eb="3">
      <t>タ</t>
    </rPh>
    <rPh sb="4" eb="6">
      <t>レンラク</t>
    </rPh>
    <rPh sb="6" eb="8">
      <t>ジコウ</t>
    </rPh>
    <phoneticPr fontId="22"/>
  </si>
  <si>
    <t>GH0.1-0.2</t>
    <phoneticPr fontId="10"/>
  </si>
  <si>
    <t>・上から8行目までの行、列にセルの挿入・削除を行わないこと</t>
    <rPh sb="1" eb="2">
      <t>ウエ</t>
    </rPh>
    <rPh sb="5" eb="7">
      <t>ギョウメ</t>
    </rPh>
    <rPh sb="10" eb="11">
      <t>ギョウ</t>
    </rPh>
    <rPh sb="12" eb="13">
      <t>レツ</t>
    </rPh>
    <rPh sb="17" eb="19">
      <t>ソウニュウ</t>
    </rPh>
    <rPh sb="20" eb="22">
      <t>サクジョ</t>
    </rPh>
    <rPh sb="23" eb="24">
      <t>オコナ</t>
    </rPh>
    <phoneticPr fontId="22"/>
  </si>
  <si>
    <t>お客様名</t>
    <rPh sb="1" eb="3">
      <t>キャクサマ</t>
    </rPh>
    <rPh sb="3" eb="4">
      <t>メイ</t>
    </rPh>
    <phoneticPr fontId="10"/>
  </si>
  <si>
    <t>御担当者様</t>
    <rPh sb="0" eb="1">
      <t>ゴ</t>
    </rPh>
    <rPh sb="1" eb="5">
      <t>タントウシャサマ</t>
    </rPh>
    <phoneticPr fontId="10"/>
  </si>
  <si>
    <t>多角形</t>
    <rPh sb="0" eb="3">
      <t>タカクケイ</t>
    </rPh>
    <phoneticPr fontId="10"/>
  </si>
  <si>
    <t>A#400</t>
    <phoneticPr fontId="10"/>
  </si>
  <si>
    <t>A#500</t>
    <phoneticPr fontId="10"/>
  </si>
  <si>
    <t>A#600</t>
    <phoneticPr fontId="10"/>
  </si>
  <si>
    <t>A#800</t>
    <phoneticPr fontId="10"/>
  </si>
  <si>
    <t>アルミナ</t>
    <phoneticPr fontId="10"/>
  </si>
  <si>
    <t>AX-50</t>
    <phoneticPr fontId="10"/>
  </si>
  <si>
    <t>AX-25BS</t>
    <phoneticPr fontId="10"/>
  </si>
  <si>
    <t>AW-20BS</t>
    <phoneticPr fontId="10"/>
  </si>
  <si>
    <t>AX-3-15</t>
    <phoneticPr fontId="10"/>
  </si>
  <si>
    <t>球形</t>
    <rPh sb="0" eb="2">
      <t>キュウケイ</t>
    </rPh>
    <phoneticPr fontId="10"/>
  </si>
  <si>
    <t>B-60</t>
    <phoneticPr fontId="10"/>
  </si>
  <si>
    <t>B-120</t>
    <phoneticPr fontId="10"/>
  </si>
  <si>
    <t>B-205</t>
    <phoneticPr fontId="10"/>
  </si>
  <si>
    <t>850-600</t>
  </si>
  <si>
    <t>600-425</t>
  </si>
  <si>
    <t>425-250</t>
  </si>
  <si>
    <t>G-0212</t>
    <phoneticPr fontId="10"/>
  </si>
  <si>
    <t>G-0150</t>
    <phoneticPr fontId="10"/>
  </si>
  <si>
    <t>G-0106</t>
    <phoneticPr fontId="10"/>
  </si>
  <si>
    <t>G-0053</t>
    <phoneticPr fontId="10"/>
  </si>
  <si>
    <t>G-0045</t>
    <phoneticPr fontId="10"/>
  </si>
  <si>
    <t>ガラス</t>
    <phoneticPr fontId="10"/>
  </si>
  <si>
    <t>250-150</t>
  </si>
  <si>
    <t>212-106</t>
  </si>
  <si>
    <t>150-75</t>
  </si>
  <si>
    <t>106-53</t>
  </si>
  <si>
    <t>90-45</t>
  </si>
  <si>
    <t>メラミン樹脂</t>
    <rPh sb="4" eb="6">
      <t>ジュシ</t>
    </rPh>
    <phoneticPr fontId="10"/>
  </si>
  <si>
    <t>595-420</t>
  </si>
  <si>
    <t>420-250</t>
  </si>
  <si>
    <t>250-177</t>
  </si>
  <si>
    <t>ACS-3R</t>
    <phoneticPr fontId="10"/>
  </si>
  <si>
    <t>フェノール樹脂</t>
    <rPh sb="5" eb="7">
      <t>ジュシ</t>
    </rPh>
    <phoneticPr fontId="10"/>
  </si>
  <si>
    <t>GH20</t>
    <phoneticPr fontId="10"/>
  </si>
  <si>
    <t>GH0.1-0.2</t>
    <phoneticPr fontId="10"/>
  </si>
  <si>
    <t>ステンレス</t>
    <phoneticPr fontId="10"/>
  </si>
  <si>
    <t>GH01M</t>
    <phoneticPr fontId="10"/>
  </si>
  <si>
    <t>S-10</t>
    <phoneticPr fontId="10"/>
  </si>
  <si>
    <t>SA#30</t>
    <phoneticPr fontId="10"/>
  </si>
  <si>
    <t>SA#36</t>
    <phoneticPr fontId="10"/>
  </si>
  <si>
    <t>SA#54</t>
    <phoneticPr fontId="10"/>
  </si>
  <si>
    <t>SA#60</t>
    <phoneticPr fontId="10"/>
  </si>
  <si>
    <t>SA#70</t>
    <phoneticPr fontId="10"/>
  </si>
  <si>
    <t>SA#80</t>
    <phoneticPr fontId="10"/>
  </si>
  <si>
    <t>SA#90</t>
    <phoneticPr fontId="10"/>
  </si>
  <si>
    <t>SA#100</t>
    <phoneticPr fontId="10"/>
  </si>
  <si>
    <t>SA#120</t>
    <phoneticPr fontId="10"/>
  </si>
  <si>
    <t>SA#150</t>
    <phoneticPr fontId="10"/>
  </si>
  <si>
    <t>SA#180</t>
    <phoneticPr fontId="10"/>
  </si>
  <si>
    <t>SA#220</t>
    <phoneticPr fontId="10"/>
  </si>
  <si>
    <t>A#240</t>
    <phoneticPr fontId="10"/>
  </si>
  <si>
    <t>A#280</t>
    <phoneticPr fontId="10"/>
  </si>
  <si>
    <t>A#360</t>
    <phoneticPr fontId="10"/>
  </si>
  <si>
    <t>A#700</t>
    <phoneticPr fontId="10"/>
  </si>
  <si>
    <t>A#1000</t>
    <phoneticPr fontId="10"/>
  </si>
  <si>
    <t>A#1200</t>
    <phoneticPr fontId="10"/>
  </si>
  <si>
    <t>A#1500</t>
    <phoneticPr fontId="10"/>
  </si>
  <si>
    <t>A#2000</t>
    <phoneticPr fontId="10"/>
  </si>
  <si>
    <t>WA#2500</t>
    <phoneticPr fontId="10"/>
  </si>
  <si>
    <t>WA#3000</t>
    <phoneticPr fontId="10"/>
  </si>
  <si>
    <t>WA#10000</t>
    <phoneticPr fontId="10"/>
  </si>
  <si>
    <t>TYPEⅢ30/40</t>
    <phoneticPr fontId="10"/>
  </si>
  <si>
    <t>TYPEⅢ40/60</t>
    <phoneticPr fontId="10"/>
  </si>
  <si>
    <t>TYPEⅢ60/80</t>
    <phoneticPr fontId="10"/>
  </si>
  <si>
    <t>MP-08A</t>
    <phoneticPr fontId="10"/>
  </si>
  <si>
    <t>MP-60A</t>
    <phoneticPr fontId="10"/>
  </si>
  <si>
    <t>MP-20D</t>
    <phoneticPr fontId="10"/>
  </si>
  <si>
    <t>ウレタン樹脂</t>
    <rPh sb="4" eb="6">
      <t>ジュシ</t>
    </rPh>
    <phoneticPr fontId="10"/>
  </si>
  <si>
    <t>B-20</t>
    <phoneticPr fontId="10"/>
  </si>
  <si>
    <t>B-30</t>
    <phoneticPr fontId="10"/>
  </si>
  <si>
    <t>B-40</t>
    <phoneticPr fontId="10"/>
  </si>
  <si>
    <t>TYPEⅢ100/200</t>
    <phoneticPr fontId="10"/>
  </si>
  <si>
    <t>EMB-20</t>
    <phoneticPr fontId="10"/>
  </si>
  <si>
    <t>EMB-10</t>
    <phoneticPr fontId="10"/>
  </si>
  <si>
    <t>12-10</t>
  </si>
  <si>
    <t>7-5</t>
  </si>
  <si>
    <t>製造所有の外付け流量計との値の差分を補正した値。</t>
  </si>
  <si>
    <t>2019/6/27より運用開始</t>
  </si>
  <si>
    <t>ﾉｽﾞﾙｻｲｽﾞ</t>
    <phoneticPr fontId="10"/>
  </si>
  <si>
    <t>SJ or SS</t>
    <phoneticPr fontId="22"/>
  </si>
  <si>
    <r>
      <t>ｴｱ消費量
生ﾃﾞｰﾀ
[m</t>
    </r>
    <r>
      <rPr>
        <vertAlign val="superscript"/>
        <sz val="9"/>
        <rFont val="ＭＳ Ｐゴシック"/>
        <family val="3"/>
        <charset val="128"/>
      </rPr>
      <t>3</t>
    </r>
    <r>
      <rPr>
        <sz val="9"/>
        <rFont val="ＭＳ Ｐゴシック"/>
        <family val="3"/>
        <charset val="128"/>
      </rPr>
      <t>/min]</t>
    </r>
    <rPh sb="2" eb="5">
      <t>ショウヒリョウ</t>
    </rPh>
    <rPh sb="6" eb="7">
      <t>ナマ</t>
    </rPh>
    <phoneticPr fontId="10"/>
  </si>
  <si>
    <t>φ6.0</t>
    <phoneticPr fontId="10"/>
  </si>
  <si>
    <t>▼計測条件変更理由</t>
    <rPh sb="1" eb="3">
      <t>ケイソク</t>
    </rPh>
    <rPh sb="3" eb="5">
      <t>ジョウケン</t>
    </rPh>
    <rPh sb="5" eb="7">
      <t>ヘンコウ</t>
    </rPh>
    <rPh sb="7" eb="9">
      <t>リユウ</t>
    </rPh>
    <phoneticPr fontId="22"/>
  </si>
  <si>
    <t>基準長数</t>
    <rPh sb="0" eb="2">
      <t>キジュン</t>
    </rPh>
    <rPh sb="2" eb="3">
      <t>チョウ</t>
    </rPh>
    <rPh sb="3" eb="4">
      <t>スウ</t>
    </rPh>
    <phoneticPr fontId="22"/>
  </si>
  <si>
    <t>評価長さ</t>
    <rPh sb="0" eb="3">
      <t>ヒョウカナガ</t>
    </rPh>
    <phoneticPr fontId="22"/>
  </si>
  <si>
    <t>0.25mm</t>
    <phoneticPr fontId="22"/>
  </si>
  <si>
    <t>0.8mm</t>
    <phoneticPr fontId="22"/>
  </si>
  <si>
    <t>2.5mm</t>
    <phoneticPr fontId="22"/>
  </si>
  <si>
    <t>基準長さ</t>
    <rPh sb="0" eb="2">
      <t>キジュン</t>
    </rPh>
    <rPh sb="2" eb="3">
      <t>ナガ</t>
    </rPh>
    <phoneticPr fontId="22"/>
  </si>
  <si>
    <t>2.5μm</t>
    <phoneticPr fontId="22"/>
  </si>
  <si>
    <t>8μm</t>
    <phoneticPr fontId="22"/>
  </si>
  <si>
    <t>λs</t>
    <phoneticPr fontId="22"/>
  </si>
  <si>
    <t>使用しない</t>
    <rPh sb="0" eb="2">
      <t>シヨウ</t>
    </rPh>
    <phoneticPr fontId="22"/>
  </si>
  <si>
    <t>λc</t>
    <phoneticPr fontId="22"/>
  </si>
  <si>
    <t>Ra≦0.02</t>
    <phoneticPr fontId="22"/>
  </si>
  <si>
    <t>0.02＜Ra≦0.1</t>
    <phoneticPr fontId="22"/>
  </si>
  <si>
    <t>0.1＜Ra≦2.0</t>
    <phoneticPr fontId="22"/>
  </si>
  <si>
    <t>2.0＜Ra</t>
    <phoneticPr fontId="22"/>
  </si>
  <si>
    <t>個別設定項目</t>
    <rPh sb="0" eb="2">
      <t>コベツ</t>
    </rPh>
    <rPh sb="2" eb="4">
      <t>セッテイ</t>
    </rPh>
    <rPh sb="4" eb="6">
      <t>コウモク</t>
    </rPh>
    <phoneticPr fontId="22"/>
  </si>
  <si>
    <t>無</t>
    <rPh sb="0" eb="1">
      <t>ナシ</t>
    </rPh>
    <phoneticPr fontId="22"/>
  </si>
  <si>
    <t>波形削除</t>
    <rPh sb="0" eb="2">
      <t>ハケイ</t>
    </rPh>
    <rPh sb="2" eb="4">
      <t>サクジョ</t>
    </rPh>
    <phoneticPr fontId="22"/>
  </si>
  <si>
    <t>有</t>
    <rPh sb="0" eb="1">
      <t>アリ</t>
    </rPh>
    <phoneticPr fontId="22"/>
  </si>
  <si>
    <t>前走・後走</t>
    <rPh sb="0" eb="2">
      <t>ゼンソウ</t>
    </rPh>
    <rPh sb="3" eb="4">
      <t>ウシ</t>
    </rPh>
    <rPh sb="4" eb="5">
      <t>ハシ</t>
    </rPh>
    <phoneticPr fontId="22"/>
  </si>
  <si>
    <t>区間数</t>
    <rPh sb="0" eb="2">
      <t>クカン</t>
    </rPh>
    <rPh sb="2" eb="3">
      <t>スウ</t>
    </rPh>
    <phoneticPr fontId="22"/>
  </si>
  <si>
    <t>計測速度</t>
    <rPh sb="0" eb="2">
      <t>ケイソク</t>
    </rPh>
    <rPh sb="2" eb="4">
      <t>ソクド</t>
    </rPh>
    <phoneticPr fontId="22"/>
  </si>
  <si>
    <t>GAUSS</t>
    <phoneticPr fontId="22"/>
  </si>
  <si>
    <t>フィルタ</t>
    <phoneticPr fontId="22"/>
  </si>
  <si>
    <t>R</t>
    <phoneticPr fontId="22"/>
  </si>
  <si>
    <t>曲線</t>
    <rPh sb="0" eb="2">
      <t>キョクセン</t>
    </rPh>
    <phoneticPr fontId="22"/>
  </si>
  <si>
    <t>JIS1994：B601</t>
    <phoneticPr fontId="22"/>
  </si>
  <si>
    <t>規格</t>
    <rPh sb="0" eb="2">
      <t>キカク</t>
    </rPh>
    <phoneticPr fontId="22"/>
  </si>
  <si>
    <t>先端R：2μm(60°)
測定力：0.75mN</t>
    <rPh sb="0" eb="2">
      <t>センタン</t>
    </rPh>
    <rPh sb="13" eb="15">
      <t>ソクテイ</t>
    </rPh>
    <rPh sb="15" eb="16">
      <t>リョク</t>
    </rPh>
    <phoneticPr fontId="22"/>
  </si>
  <si>
    <t>検出器</t>
    <rPh sb="0" eb="3">
      <t>ケンシュツキ</t>
    </rPh>
    <phoneticPr fontId="22"/>
  </si>
  <si>
    <t>共通条件</t>
    <rPh sb="0" eb="2">
      <t>キョウツウ</t>
    </rPh>
    <rPh sb="2" eb="4">
      <t>ジョウケン</t>
    </rPh>
    <phoneticPr fontId="22"/>
  </si>
  <si>
    <t>触針式
「SJ-301」
（ミツトヨ）</t>
    <rPh sb="0" eb="1">
      <t>ショク</t>
    </rPh>
    <rPh sb="1" eb="2">
      <t>シン</t>
    </rPh>
    <rPh sb="2" eb="3">
      <t>シキ</t>
    </rPh>
    <phoneticPr fontId="22"/>
  </si>
  <si>
    <t>フィルタ</t>
    <phoneticPr fontId="22"/>
  </si>
  <si>
    <t>JIS2001：B601</t>
    <phoneticPr fontId="22"/>
  </si>
  <si>
    <t>JIS2001：B601</t>
    <phoneticPr fontId="22"/>
  </si>
  <si>
    <t>触針式
「SJ-310」
（ミツトヨ）</t>
    <rPh sb="0" eb="1">
      <t>ショク</t>
    </rPh>
    <rPh sb="1" eb="2">
      <t>シン</t>
    </rPh>
    <rPh sb="2" eb="3">
      <t>シキ</t>
    </rPh>
    <phoneticPr fontId="22"/>
  </si>
  <si>
    <t>84μm</t>
    <phoneticPr fontId="22"/>
  </si>
  <si>
    <t>254μm</t>
    <phoneticPr fontId="22"/>
  </si>
  <si>
    <t>631μm</t>
    <phoneticPr fontId="22"/>
  </si>
  <si>
    <t>評価長さ</t>
    <rPh sb="0" eb="2">
      <t>ヒョウカ</t>
    </rPh>
    <rPh sb="2" eb="3">
      <t>ナガ</t>
    </rPh>
    <phoneticPr fontId="22"/>
  </si>
  <si>
    <t>84μm</t>
    <phoneticPr fontId="22"/>
  </si>
  <si>
    <t>254μm</t>
    <phoneticPr fontId="22"/>
  </si>
  <si>
    <t>627μm</t>
    <phoneticPr fontId="22"/>
  </si>
  <si>
    <t>2.5μm</t>
    <phoneticPr fontId="22"/>
  </si>
  <si>
    <t>2.5μm</t>
    <phoneticPr fontId="22"/>
  </si>
  <si>
    <t>λs</t>
    <phoneticPr fontId="22"/>
  </si>
  <si>
    <t>なし</t>
    <phoneticPr fontId="22"/>
  </si>
  <si>
    <t>なし</t>
    <phoneticPr fontId="22"/>
  </si>
  <si>
    <t>λc</t>
    <phoneticPr fontId="22"/>
  </si>
  <si>
    <t>0.08μm</t>
    <phoneticPr fontId="22"/>
  </si>
  <si>
    <t>0.10μm</t>
    <phoneticPr fontId="22"/>
  </si>
  <si>
    <t>0.50μm</t>
    <phoneticPr fontId="22"/>
  </si>
  <si>
    <t>測定ピッチ</t>
    <rPh sb="0" eb="2">
      <t>ソクテイ</t>
    </rPh>
    <phoneticPr fontId="22"/>
  </si>
  <si>
    <t>x150</t>
    <phoneticPr fontId="22"/>
  </si>
  <si>
    <t>x50</t>
    <phoneticPr fontId="22"/>
  </si>
  <si>
    <t>x20</t>
    <phoneticPr fontId="22"/>
  </si>
  <si>
    <t>レンズ倍率</t>
    <rPh sb="3" eb="5">
      <t>バイリツ</t>
    </rPh>
    <phoneticPr fontId="22"/>
  </si>
  <si>
    <t>Ra≦0.02</t>
    <phoneticPr fontId="22"/>
  </si>
  <si>
    <t>0.02＜Ra≦0.1</t>
    <phoneticPr fontId="22"/>
  </si>
  <si>
    <t>0.1＜Ra≦2.0</t>
    <phoneticPr fontId="22"/>
  </si>
  <si>
    <t>2.0＜Ra</t>
    <phoneticPr fontId="22"/>
  </si>
  <si>
    <t>スタイラスモード</t>
    <phoneticPr fontId="22"/>
  </si>
  <si>
    <t>ダブルガウシアンフィルター</t>
    <phoneticPr fontId="22"/>
  </si>
  <si>
    <t>終端効果の補正</t>
    <rPh sb="0" eb="2">
      <t>シュウタン</t>
    </rPh>
    <rPh sb="2" eb="4">
      <t>コウカ</t>
    </rPh>
    <rPh sb="5" eb="7">
      <t>ホセイ</t>
    </rPh>
    <phoneticPr fontId="22"/>
  </si>
  <si>
    <t>粗さ</t>
    <rPh sb="0" eb="1">
      <t>アラ</t>
    </rPh>
    <phoneticPr fontId="22"/>
  </si>
  <si>
    <t>計測種別</t>
    <rPh sb="0" eb="2">
      <t>ケイソク</t>
    </rPh>
    <rPh sb="2" eb="4">
      <t>シュベツ</t>
    </rPh>
    <phoneticPr fontId="22"/>
  </si>
  <si>
    <t>60本飛ばし</t>
    <rPh sb="2" eb="3">
      <t>ホン</t>
    </rPh>
    <rPh sb="3" eb="4">
      <t>ト</t>
    </rPh>
    <phoneticPr fontId="22"/>
  </si>
  <si>
    <t>間隔</t>
    <rPh sb="0" eb="2">
      <t>カンカク</t>
    </rPh>
    <phoneticPr fontId="22"/>
  </si>
  <si>
    <t>5本</t>
    <rPh sb="1" eb="2">
      <t>ホン</t>
    </rPh>
    <phoneticPr fontId="22"/>
  </si>
  <si>
    <t>周囲本数</t>
    <rPh sb="0" eb="2">
      <t>シュウイ</t>
    </rPh>
    <rPh sb="2" eb="4">
      <t>ホンスウ</t>
    </rPh>
    <phoneticPr fontId="22"/>
  </si>
  <si>
    <t>水平線</t>
    <rPh sb="0" eb="3">
      <t>スイヘイセン</t>
    </rPh>
    <phoneticPr fontId="22"/>
  </si>
  <si>
    <t>プロファイル線</t>
    <rPh sb="6" eb="7">
      <t>セン</t>
    </rPh>
    <phoneticPr fontId="22"/>
  </si>
  <si>
    <t>サイズ：3×3
種類：単純平均</t>
    <rPh sb="8" eb="10">
      <t>シュルイ</t>
    </rPh>
    <rPh sb="11" eb="13">
      <t>タンジュン</t>
    </rPh>
    <rPh sb="13" eb="15">
      <t>ヘイキン</t>
    </rPh>
    <phoneticPr fontId="22"/>
  </si>
  <si>
    <t>サイズ：3×3
種類：単純平均</t>
    <phoneticPr fontId="22"/>
  </si>
  <si>
    <t>平滑化</t>
    <rPh sb="0" eb="3">
      <t>ヘイカツカ</t>
    </rPh>
    <phoneticPr fontId="22"/>
  </si>
  <si>
    <t>計測面が曲面の場合、
「二次曲線補正」を実施</t>
    <rPh sb="0" eb="2">
      <t>ケイソク</t>
    </rPh>
    <rPh sb="2" eb="3">
      <t>メン</t>
    </rPh>
    <rPh sb="4" eb="6">
      <t>キョクメン</t>
    </rPh>
    <rPh sb="7" eb="9">
      <t>バアイ</t>
    </rPh>
    <rPh sb="12" eb="14">
      <t>ニジ</t>
    </rPh>
    <rPh sb="14" eb="16">
      <t>キョクセン</t>
    </rPh>
    <rPh sb="16" eb="18">
      <t>ホセイ</t>
    </rPh>
    <rPh sb="20" eb="22">
      <t>ジッシ</t>
    </rPh>
    <phoneticPr fontId="22"/>
  </si>
  <si>
    <t>実施 or 未実施</t>
    <rPh sb="0" eb="2">
      <t>ジッシ</t>
    </rPh>
    <rPh sb="6" eb="9">
      <t>ミジッシ</t>
    </rPh>
    <phoneticPr fontId="22"/>
  </si>
  <si>
    <t>面形状補正</t>
    <rPh sb="0" eb="1">
      <t>メン</t>
    </rPh>
    <rPh sb="1" eb="3">
      <t>ケイジョウ</t>
    </rPh>
    <rPh sb="3" eb="5">
      <t>ホセイ</t>
    </rPh>
    <phoneticPr fontId="22"/>
  </si>
  <si>
    <t>計測面が水平になるよう設定</t>
    <rPh sb="0" eb="2">
      <t>ケイソク</t>
    </rPh>
    <rPh sb="2" eb="3">
      <t>メン</t>
    </rPh>
    <rPh sb="4" eb="6">
      <t>スイヘイ</t>
    </rPh>
    <rPh sb="11" eb="13">
      <t>セッテイ</t>
    </rPh>
    <phoneticPr fontId="22"/>
  </si>
  <si>
    <t>基準面設定</t>
    <rPh sb="0" eb="2">
      <t>キジュン</t>
    </rPh>
    <rPh sb="2" eb="3">
      <t>メン</t>
    </rPh>
    <rPh sb="3" eb="5">
      <t>セッテイ</t>
    </rPh>
    <phoneticPr fontId="22"/>
  </si>
  <si>
    <t>高精度</t>
    <rPh sb="0" eb="3">
      <t>コウセイド</t>
    </rPh>
    <phoneticPr fontId="22"/>
  </si>
  <si>
    <t>測定品質</t>
    <rPh sb="0" eb="2">
      <t>ソクテイ</t>
    </rPh>
    <rPh sb="2" eb="4">
      <t>ヒンシツ</t>
    </rPh>
    <phoneticPr fontId="22"/>
  </si>
  <si>
    <t>標準(1024×768)</t>
    <rPh sb="0" eb="2">
      <t>ヒョウジュン</t>
    </rPh>
    <phoneticPr fontId="22"/>
  </si>
  <si>
    <t>測定サイズ</t>
    <rPh sb="0" eb="2">
      <t>ソクテイ</t>
    </rPh>
    <phoneticPr fontId="22"/>
  </si>
  <si>
    <t>レーザーコンフォーカル</t>
    <phoneticPr fontId="22"/>
  </si>
  <si>
    <t>レーザーコンフォーカル</t>
    <phoneticPr fontId="22"/>
  </si>
  <si>
    <t>スキャンモード</t>
    <phoneticPr fontId="22"/>
  </si>
  <si>
    <t>レーザー顕微鏡
「VK-X1000」
（キーエンス）</t>
    <rPh sb="4" eb="7">
      <t>ケンビキョウ</t>
    </rPh>
    <phoneticPr fontId="22"/>
  </si>
  <si>
    <r>
      <t>標準計測条件</t>
    </r>
    <r>
      <rPr>
        <sz val="10"/>
        <color rgb="FFFF0000"/>
        <rFont val="Meiryo UI"/>
        <family val="3"/>
        <charset val="128"/>
      </rPr>
      <t>※変更禁止</t>
    </r>
    <rPh sb="0" eb="6">
      <t>ヒョウジュンケイソクジョウケン</t>
    </rPh>
    <rPh sb="7" eb="9">
      <t>ヘンコウ</t>
    </rPh>
    <rPh sb="9" eb="11">
      <t>キンシ</t>
    </rPh>
    <phoneticPr fontId="22"/>
  </si>
  <si>
    <t>計測条件</t>
    <rPh sb="0" eb="2">
      <t>ケイソク</t>
    </rPh>
    <rPh sb="2" eb="4">
      <t>ジョウケン</t>
    </rPh>
    <phoneticPr fontId="22"/>
  </si>
  <si>
    <t>計測器</t>
    <rPh sb="0" eb="3">
      <t>ケイソクキ</t>
    </rPh>
    <phoneticPr fontId="22"/>
  </si>
  <si>
    <t>▼測定条件</t>
    <rPh sb="1" eb="3">
      <t>ソクテイ</t>
    </rPh>
    <rPh sb="3" eb="5">
      <t>ジョウケン</t>
    </rPh>
    <phoneticPr fontId="22"/>
  </si>
  <si>
    <t>　　　また、変更理由を下に記載すること。</t>
    <rPh sb="6" eb="8">
      <t>ヘンコウ</t>
    </rPh>
    <rPh sb="8" eb="10">
      <t>リユウ</t>
    </rPh>
    <rPh sb="11" eb="12">
      <t>シタ</t>
    </rPh>
    <rPh sb="13" eb="15">
      <t>キサイ</t>
    </rPh>
    <phoneticPr fontId="22"/>
  </si>
  <si>
    <t>　　・上記以外の箇所に対して標準計測条件との変更がある場合は、変更した項目を書き換えること。（書き換えたセルは自動で赤く塗りつぶされます）</t>
    <rPh sb="3" eb="5">
      <t>ジョウキ</t>
    </rPh>
    <rPh sb="5" eb="7">
      <t>イガイ</t>
    </rPh>
    <rPh sb="8" eb="10">
      <t>カショ</t>
    </rPh>
    <rPh sb="11" eb="12">
      <t>タイ</t>
    </rPh>
    <rPh sb="14" eb="16">
      <t>ヒョウジュン</t>
    </rPh>
    <rPh sb="16" eb="18">
      <t>ケイソク</t>
    </rPh>
    <rPh sb="18" eb="20">
      <t>ジョウケン</t>
    </rPh>
    <rPh sb="22" eb="24">
      <t>ヘンコウ</t>
    </rPh>
    <rPh sb="27" eb="29">
      <t>バアイ</t>
    </rPh>
    <rPh sb="31" eb="33">
      <t>ヘンコウ</t>
    </rPh>
    <rPh sb="35" eb="37">
      <t>コウモク</t>
    </rPh>
    <rPh sb="38" eb="39">
      <t>カ</t>
    </rPh>
    <rPh sb="40" eb="41">
      <t>カ</t>
    </rPh>
    <rPh sb="47" eb="48">
      <t>カ</t>
    </rPh>
    <rPh sb="49" eb="50">
      <t>カ</t>
    </rPh>
    <rPh sb="55" eb="57">
      <t>ジドウ</t>
    </rPh>
    <rPh sb="58" eb="59">
      <t>アカ</t>
    </rPh>
    <rPh sb="60" eb="61">
      <t>ヌ</t>
    </rPh>
    <phoneticPr fontId="22"/>
  </si>
  <si>
    <t>　　・表中の黄色セル部に計測条件を記入すること。</t>
    <rPh sb="3" eb="5">
      <t>ヒョウチュウ</t>
    </rPh>
    <rPh sb="6" eb="8">
      <t>キイロ</t>
    </rPh>
    <rPh sb="10" eb="11">
      <t>ブ</t>
    </rPh>
    <rPh sb="12" eb="14">
      <t>ケイソク</t>
    </rPh>
    <rPh sb="14" eb="16">
      <t>ジョウケン</t>
    </rPh>
    <rPh sb="17" eb="19">
      <t>キニュウ</t>
    </rPh>
    <phoneticPr fontId="22"/>
  </si>
  <si>
    <t>　　・特別な事情がない場合は標準計測条件で計測すること。</t>
    <rPh sb="3" eb="5">
      <t>トクベツ</t>
    </rPh>
    <rPh sb="6" eb="8">
      <t>ジジョウ</t>
    </rPh>
    <rPh sb="11" eb="13">
      <t>バアイ</t>
    </rPh>
    <rPh sb="14" eb="20">
      <t>ヒョウジュンケイソクジョウケン</t>
    </rPh>
    <rPh sb="21" eb="23">
      <t>ケイソク</t>
    </rPh>
    <phoneticPr fontId="22"/>
  </si>
  <si>
    <t>表面粗さ計測条件記入シート</t>
    <rPh sb="0" eb="2">
      <t>ヒョウメン</t>
    </rPh>
    <rPh sb="2" eb="3">
      <t>アラ</t>
    </rPh>
    <rPh sb="4" eb="6">
      <t>ケイソク</t>
    </rPh>
    <rPh sb="6" eb="8">
      <t>ジョウケン</t>
    </rPh>
    <rPh sb="8" eb="10">
      <t>キニュウ</t>
    </rPh>
    <phoneticPr fontId="22"/>
  </si>
  <si>
    <t>ワーク情報
目的
目標・要望
（評価基準）
注意点</t>
    <rPh sb="3" eb="5">
      <t>ジョウホウ</t>
    </rPh>
    <phoneticPr fontId="10"/>
  </si>
  <si>
    <t>表面粗さ</t>
    <rPh sb="0" eb="2">
      <t>ヒョウメン</t>
    </rPh>
    <rPh sb="2" eb="3">
      <t>アラ</t>
    </rPh>
    <phoneticPr fontId="10"/>
  </si>
  <si>
    <t>エア圧</t>
    <rPh sb="2" eb="3">
      <t>アツ</t>
    </rPh>
    <phoneticPr fontId="10"/>
  </si>
  <si>
    <t>備考</t>
    <phoneticPr fontId="10"/>
  </si>
  <si>
    <t>ガン名称</t>
    <phoneticPr fontId="10"/>
  </si>
  <si>
    <t>使用装置</t>
    <phoneticPr fontId="10"/>
  </si>
  <si>
    <t>備考</t>
    <phoneticPr fontId="10"/>
  </si>
  <si>
    <t>サンプルテスト データレポート</t>
    <phoneticPr fontId="10"/>
  </si>
  <si>
    <t>多角形</t>
    <rPh sb="0" eb="3">
      <t>タカクケイ</t>
    </rPh>
    <phoneticPr fontId="10"/>
  </si>
  <si>
    <t>ステンレス</t>
    <phoneticPr fontId="10"/>
  </si>
  <si>
    <t>GH050</t>
    <phoneticPr fontId="10"/>
  </si>
  <si>
    <t>SiC</t>
    <phoneticPr fontId="10"/>
  </si>
  <si>
    <t>GC#4000</t>
    <phoneticPr fontId="10"/>
  </si>
  <si>
    <t>GC#2000</t>
    <phoneticPr fontId="10"/>
  </si>
  <si>
    <t>GC#1500</t>
    <phoneticPr fontId="10"/>
  </si>
  <si>
    <t>GC#1200</t>
    <phoneticPr fontId="10"/>
  </si>
  <si>
    <t>GC#1000</t>
    <phoneticPr fontId="10"/>
  </si>
  <si>
    <t>GC#800</t>
    <phoneticPr fontId="10"/>
  </si>
  <si>
    <t>GC#600</t>
    <phoneticPr fontId="10"/>
  </si>
  <si>
    <t>GC#500</t>
    <phoneticPr fontId="10"/>
  </si>
  <si>
    <t>GC#400</t>
    <phoneticPr fontId="10"/>
  </si>
  <si>
    <t>GC#320</t>
    <phoneticPr fontId="10"/>
  </si>
  <si>
    <t>WA4000SB</t>
    <phoneticPr fontId="10"/>
  </si>
  <si>
    <t>WA#2000</t>
    <phoneticPr fontId="10"/>
  </si>
  <si>
    <t>WA#1500</t>
    <phoneticPr fontId="10"/>
  </si>
  <si>
    <t>WA#1200</t>
    <phoneticPr fontId="10"/>
  </si>
  <si>
    <t>WA#1000</t>
    <phoneticPr fontId="10"/>
  </si>
  <si>
    <t>WA#800</t>
    <phoneticPr fontId="10"/>
  </si>
  <si>
    <t>WA#600</t>
    <phoneticPr fontId="10"/>
  </si>
  <si>
    <t>WA#500</t>
    <phoneticPr fontId="10"/>
  </si>
  <si>
    <t>WA#400</t>
    <phoneticPr fontId="10"/>
  </si>
  <si>
    <t>WA#320</t>
    <phoneticPr fontId="10"/>
  </si>
  <si>
    <t>MP-20A</t>
    <phoneticPr fontId="10"/>
  </si>
  <si>
    <t>S-20</t>
    <phoneticPr fontId="10"/>
  </si>
  <si>
    <t>TYPEⅢ80/100</t>
    <phoneticPr fontId="10"/>
  </si>
  <si>
    <t>45以下</t>
    <rPh sb="2" eb="4">
      <t>イカ</t>
    </rPh>
    <phoneticPr fontId="6"/>
  </si>
  <si>
    <t>53以下</t>
    <rPh sb="2" eb="4">
      <t>イカ</t>
    </rPh>
    <phoneticPr fontId="6"/>
  </si>
  <si>
    <t>G-0090</t>
    <phoneticPr fontId="10"/>
  </si>
  <si>
    <t>G-0250</t>
    <phoneticPr fontId="10"/>
  </si>
  <si>
    <t>ジルコニア</t>
    <phoneticPr fontId="10"/>
  </si>
  <si>
    <t>AX-25</t>
    <phoneticPr fontId="10"/>
  </si>
  <si>
    <t>AW70-125</t>
    <phoneticPr fontId="10"/>
  </si>
  <si>
    <t>WA#8000</t>
    <phoneticPr fontId="10"/>
  </si>
  <si>
    <t>WA#6000</t>
    <phoneticPr fontId="10"/>
  </si>
  <si>
    <t>WA#4000</t>
    <phoneticPr fontId="10"/>
  </si>
  <si>
    <t>A#320</t>
    <phoneticPr fontId="10"/>
  </si>
  <si>
    <t>SA#46</t>
    <phoneticPr fontId="10"/>
  </si>
  <si>
    <t>MSB-Ⅵ</t>
  </si>
  <si>
    <t>5Lバレル</t>
  </si>
  <si>
    <t>ココット標準ガン</t>
    <rPh sb="4" eb="6">
      <t>ヒョウジュン</t>
    </rPh>
    <phoneticPr fontId="10"/>
  </si>
  <si>
    <t>オムレット標準ガン</t>
    <phoneticPr fontId="10"/>
  </si>
  <si>
    <t>2セット使用</t>
    <rPh sb="4" eb="6">
      <t>シヨウ</t>
    </rPh>
    <phoneticPr fontId="10"/>
  </si>
  <si>
    <t>2本使用</t>
    <rPh sb="1" eb="2">
      <t>ホン</t>
    </rPh>
    <rPh sb="2" eb="4">
      <t>シヨウ</t>
    </rPh>
    <phoneticPr fontId="10"/>
  </si>
  <si>
    <t>ロングノズル, 12本使用</t>
    <rPh sb="10" eb="11">
      <t>ホン</t>
    </rPh>
    <rPh sb="11" eb="13">
      <t>シヨウ</t>
    </rPh>
    <phoneticPr fontId="10"/>
  </si>
  <si>
    <t>旧名称</t>
    <rPh sb="0" eb="1">
      <t>キュウ</t>
    </rPh>
    <rPh sb="1" eb="3">
      <t>メイショウ</t>
    </rPh>
    <phoneticPr fontId="22"/>
  </si>
  <si>
    <t>テストレポート記載情報</t>
    <phoneticPr fontId="22"/>
  </si>
  <si>
    <t>R-1</t>
  </si>
  <si>
    <t>RB-1</t>
    <phoneticPr fontId="22"/>
  </si>
  <si>
    <t>R-2</t>
  </si>
  <si>
    <t>RB-2</t>
    <phoneticPr fontId="22"/>
  </si>
  <si>
    <t>R-3</t>
  </si>
  <si>
    <t>RB-3</t>
    <phoneticPr fontId="22"/>
  </si>
  <si>
    <t>R-4</t>
  </si>
  <si>
    <t>RB-4</t>
    <phoneticPr fontId="22"/>
  </si>
  <si>
    <t>R-5</t>
  </si>
  <si>
    <t>RB-5</t>
    <phoneticPr fontId="22"/>
  </si>
  <si>
    <t>R-6</t>
  </si>
  <si>
    <t>RB-6</t>
    <phoneticPr fontId="22"/>
  </si>
  <si>
    <t>ラムダ1</t>
  </si>
  <si>
    <t>ラムダ TYPE Ⅱ</t>
    <phoneticPr fontId="22"/>
  </si>
  <si>
    <t>ゼータ</t>
  </si>
  <si>
    <t>ゼータ</t>
    <phoneticPr fontId="22"/>
  </si>
  <si>
    <t>シグマ</t>
  </si>
  <si>
    <t>シグマ</t>
    <phoneticPr fontId="22"/>
  </si>
  <si>
    <t>Jr.1(マルチサーフェスJr.)</t>
  </si>
  <si>
    <t>Jr. A</t>
    <phoneticPr fontId="22"/>
  </si>
  <si>
    <t>Jr.2(マルチサーフェスJr.)</t>
  </si>
  <si>
    <t>Jr. B</t>
    <phoneticPr fontId="22"/>
  </si>
  <si>
    <t>Jr.3</t>
  </si>
  <si>
    <t>Jr. Type Ⅱ</t>
    <phoneticPr fontId="22"/>
  </si>
  <si>
    <t>ココットB1</t>
  </si>
  <si>
    <t>ココット A</t>
    <phoneticPr fontId="22"/>
  </si>
  <si>
    <t>ココット</t>
    <phoneticPr fontId="22"/>
  </si>
  <si>
    <t>ココットB2</t>
  </si>
  <si>
    <t>ココット B</t>
    <phoneticPr fontId="22"/>
  </si>
  <si>
    <t>ココットB3</t>
  </si>
  <si>
    <t>ココット C</t>
    <phoneticPr fontId="22"/>
  </si>
  <si>
    <t>miniPFE</t>
  </si>
  <si>
    <t>mini PFE 100</t>
    <phoneticPr fontId="22"/>
  </si>
  <si>
    <t>ベビーブラストⅠ</t>
  </si>
  <si>
    <t>ベビーブラスト A</t>
    <phoneticPr fontId="22"/>
  </si>
  <si>
    <t>ベビーブラスト</t>
    <phoneticPr fontId="22"/>
  </si>
  <si>
    <t>ベビーブラストⅡ</t>
  </si>
  <si>
    <t>ベビーブラスト B</t>
    <phoneticPr fontId="22"/>
  </si>
  <si>
    <t>ベビーブラストⅢ</t>
  </si>
  <si>
    <t>ベビーブラスト 2</t>
    <phoneticPr fontId="22"/>
  </si>
  <si>
    <t>バレル式WB</t>
    <phoneticPr fontId="22"/>
  </si>
  <si>
    <t>MSB-Ⅵ</t>
    <phoneticPr fontId="22"/>
  </si>
  <si>
    <t>WLS</t>
    <phoneticPr fontId="22"/>
  </si>
  <si>
    <t>WLS-M</t>
    <phoneticPr fontId="22"/>
  </si>
  <si>
    <t>オムレット</t>
    <phoneticPr fontId="22"/>
  </si>
  <si>
    <t>棒鋼材WB</t>
  </si>
  <si>
    <t>棒鋼材WB</t>
    <phoneticPr fontId="22"/>
  </si>
  <si>
    <t>ボールねじWB</t>
  </si>
  <si>
    <t>ボールねじWB</t>
    <phoneticPr fontId="22"/>
  </si>
  <si>
    <t>WSB</t>
  </si>
  <si>
    <t>WSB</t>
    <phoneticPr fontId="22"/>
  </si>
  <si>
    <t>ガン</t>
    <phoneticPr fontId="10"/>
  </si>
  <si>
    <t>備考</t>
    <rPh sb="0" eb="2">
      <t>ビコウ</t>
    </rPh>
    <phoneticPr fontId="10"/>
  </si>
  <si>
    <t>社内用</t>
    <rPh sb="0" eb="3">
      <t>シャナイヨウ</t>
    </rPh>
    <phoneticPr fontId="10"/>
  </si>
  <si>
    <t>SJ</t>
    <phoneticPr fontId="10"/>
  </si>
  <si>
    <t>SJ</t>
    <phoneticPr fontId="10"/>
  </si>
  <si>
    <t>SJ</t>
    <phoneticPr fontId="10"/>
  </si>
  <si>
    <t>無</t>
    <rPh sb="0" eb="1">
      <t>ナシ</t>
    </rPh>
    <phoneticPr fontId="10"/>
  </si>
  <si>
    <t>φ1.2</t>
    <phoneticPr fontId="10"/>
  </si>
  <si>
    <t>φ2.0</t>
    <phoneticPr fontId="10"/>
  </si>
  <si>
    <t>φ4.5</t>
    <phoneticPr fontId="10"/>
  </si>
  <si>
    <r>
      <t>A</t>
    </r>
    <r>
      <rPr>
        <b/>
        <sz val="10"/>
        <color theme="1"/>
        <rFont val="ＭＳ Ｐゴシック"/>
        <family val="3"/>
        <charset val="128"/>
        <scheme val="minor"/>
      </rPr>
      <t>J径
[mm]</t>
    </r>
    <rPh sb="2" eb="3">
      <t>ケイ</t>
    </rPh>
    <phoneticPr fontId="22"/>
  </si>
  <si>
    <t>ノズル
サイズ</t>
    <phoneticPr fontId="10"/>
  </si>
  <si>
    <t>玉有
or
玉無</t>
    <rPh sb="0" eb="1">
      <t>タマ</t>
    </rPh>
    <rPh sb="1" eb="2">
      <t>アリ</t>
    </rPh>
    <rPh sb="6" eb="7">
      <t>タマ</t>
    </rPh>
    <rPh sb="7" eb="8">
      <t>ナシ</t>
    </rPh>
    <phoneticPr fontId="22"/>
  </si>
  <si>
    <t>SJ
or
SS</t>
    <phoneticPr fontId="10"/>
  </si>
  <si>
    <r>
      <t>ｴｱ消費量
補正値
[m</t>
    </r>
    <r>
      <rPr>
        <b/>
        <vertAlign val="superscript"/>
        <sz val="10"/>
        <rFont val="ＭＳ Ｐゴシック"/>
        <family val="3"/>
        <charset val="128"/>
      </rPr>
      <t>3</t>
    </r>
    <r>
      <rPr>
        <b/>
        <sz val="10"/>
        <rFont val="ＭＳ Ｐゴシック"/>
        <family val="3"/>
        <charset val="128"/>
      </rPr>
      <t>/min]</t>
    </r>
    <rPh sb="2" eb="5">
      <t>ショウヒリョウ</t>
    </rPh>
    <rPh sb="6" eb="9">
      <t>ホセイチ</t>
    </rPh>
    <phoneticPr fontId="10"/>
  </si>
  <si>
    <t>新名称</t>
    <rPh sb="0" eb="3">
      <t>シンメイショウ</t>
    </rPh>
    <phoneticPr fontId="22"/>
  </si>
  <si>
    <t>B-Tech内装置名称</t>
    <rPh sb="6" eb="7">
      <t>ナイ</t>
    </rPh>
    <rPh sb="7" eb="9">
      <t>ソウチ</t>
    </rPh>
    <rPh sb="9" eb="11">
      <t>メイショウ</t>
    </rPh>
    <phoneticPr fontId="10"/>
  </si>
  <si>
    <t>・カタカナは全角入力</t>
    <rPh sb="6" eb="8">
      <t>ゼンカク</t>
    </rPh>
    <rPh sb="8" eb="10">
      <t>ニュウリョク</t>
    </rPh>
    <phoneticPr fontId="10"/>
  </si>
  <si>
    <t>マコー
株式会社</t>
    <rPh sb="4" eb="8">
      <t>カブシキガイシャ</t>
    </rPh>
    <phoneticPr fontId="10"/>
  </si>
  <si>
    <t>0.5mm/s</t>
    <phoneticPr fontId="22"/>
  </si>
  <si>
    <t>0.25mm/s</t>
    <phoneticPr fontId="22"/>
  </si>
  <si>
    <t>0.25mm/s</t>
    <phoneticPr fontId="22"/>
  </si>
  <si>
    <t>12.5mm</t>
    <phoneticPr fontId="22"/>
  </si>
  <si>
    <t>4.0mm</t>
    <phoneticPr fontId="22"/>
  </si>
  <si>
    <t>処理時間</t>
    <rPh sb="0" eb="2">
      <t>ショリ</t>
    </rPh>
    <rPh sb="2" eb="4">
      <t>ジカン</t>
    </rPh>
    <phoneticPr fontId="10"/>
  </si>
  <si>
    <t>[s]</t>
    <phoneticPr fontId="10"/>
  </si>
  <si>
    <t>処理速度</t>
    <rPh sb="0" eb="2">
      <t>ショリ</t>
    </rPh>
    <rPh sb="2" eb="4">
      <t>ソクド</t>
    </rPh>
    <phoneticPr fontId="10"/>
  </si>
  <si>
    <t>[mm/s]</t>
    <phoneticPr fontId="10"/>
  </si>
  <si>
    <t>処理回数</t>
    <rPh sb="0" eb="2">
      <t>ショリ</t>
    </rPh>
    <rPh sb="2" eb="4">
      <t>カイスウ</t>
    </rPh>
    <phoneticPr fontId="10"/>
  </si>
  <si>
    <t>投射角度</t>
    <rPh sb="0" eb="2">
      <t>トウシャ</t>
    </rPh>
    <rPh sb="2" eb="4">
      <t>カクド</t>
    </rPh>
    <phoneticPr fontId="10"/>
  </si>
  <si>
    <t>投射距離</t>
    <rPh sb="0" eb="2">
      <t>トウシャ</t>
    </rPh>
    <rPh sb="2" eb="4">
      <t>キョリ</t>
    </rPh>
    <phoneticPr fontId="10"/>
  </si>
  <si>
    <t>[mm]</t>
    <phoneticPr fontId="10"/>
  </si>
  <si>
    <t>[回]</t>
    <rPh sb="1" eb="2">
      <t>カイ</t>
    </rPh>
    <phoneticPr fontId="10"/>
  </si>
  <si>
    <t>[MPa] ※1.</t>
    <phoneticPr fontId="10"/>
  </si>
  <si>
    <t>削れ量[g/min]</t>
    <phoneticPr fontId="22"/>
  </si>
  <si>
    <t>Ra</t>
    <phoneticPr fontId="22"/>
  </si>
  <si>
    <t>Rz</t>
    <phoneticPr fontId="22"/>
  </si>
  <si>
    <t>RzJIS</t>
    <phoneticPr fontId="22"/>
  </si>
  <si>
    <t>モード径
[㎛]</t>
    <rPh sb="3" eb="4">
      <t>ケイ</t>
    </rPh>
    <phoneticPr fontId="22"/>
  </si>
  <si>
    <t>許容範囲
確認</t>
    <rPh sb="0" eb="2">
      <t>キョヨウ</t>
    </rPh>
    <rPh sb="2" eb="4">
      <t>ハンイ</t>
    </rPh>
    <phoneticPr fontId="22"/>
  </si>
  <si>
    <t>研磨材
状態</t>
    <rPh sb="0" eb="3">
      <t>ケンマザイ</t>
    </rPh>
    <rPh sb="4" eb="6">
      <t>ジョウタイ</t>
    </rPh>
    <phoneticPr fontId="10"/>
  </si>
  <si>
    <t>ave.</t>
    <phoneticPr fontId="10"/>
  </si>
  <si>
    <t>研磨材</t>
    <rPh sb="0" eb="3">
      <t>ケンマザイ</t>
    </rPh>
    <phoneticPr fontId="10"/>
  </si>
  <si>
    <t>ガン</t>
    <phoneticPr fontId="10"/>
  </si>
  <si>
    <t>AJ径</t>
    <rPh sb="2" eb="3">
      <t>ケイ</t>
    </rPh>
    <phoneticPr fontId="10"/>
  </si>
  <si>
    <t>SJ径</t>
    <rPh sb="2" eb="3">
      <t>ケイ</t>
    </rPh>
    <phoneticPr fontId="10"/>
  </si>
  <si>
    <t>表面粗さ計測</t>
    <rPh sb="0" eb="2">
      <t>ヒョウメン</t>
    </rPh>
    <rPh sb="2" eb="3">
      <t>アラ</t>
    </rPh>
    <rPh sb="4" eb="6">
      <t>ケイソク</t>
    </rPh>
    <phoneticPr fontId="10"/>
  </si>
  <si>
    <t>削れ量計測</t>
    <rPh sb="0" eb="1">
      <t>ケズ</t>
    </rPh>
    <rPh sb="2" eb="3">
      <t>リョウ</t>
    </rPh>
    <rPh sb="3" eb="5">
      <t>ケイソク</t>
    </rPh>
    <phoneticPr fontId="10"/>
  </si>
  <si>
    <t>エア圧
[MPa]</t>
    <rPh sb="2" eb="3">
      <t>アツ</t>
    </rPh>
    <phoneticPr fontId="10"/>
  </si>
  <si>
    <t>ポンプ圧
[MPa]</t>
    <rPh sb="3" eb="4">
      <t>アツ</t>
    </rPh>
    <phoneticPr fontId="10"/>
  </si>
  <si>
    <t>投射距離
[mm]</t>
    <rPh sb="0" eb="2">
      <t>トウシャ</t>
    </rPh>
    <rPh sb="2" eb="4">
      <t>キョリ</t>
    </rPh>
    <phoneticPr fontId="10"/>
  </si>
  <si>
    <t>処理速度
[mm/s]</t>
    <rPh sb="0" eb="2">
      <t>ショリ</t>
    </rPh>
    <rPh sb="2" eb="4">
      <t>ソクド</t>
    </rPh>
    <phoneticPr fontId="10"/>
  </si>
  <si>
    <t>処理回数
[pass]</t>
    <rPh sb="0" eb="2">
      <t>ショリ</t>
    </rPh>
    <rPh sb="2" eb="4">
      <t>カイスウ</t>
    </rPh>
    <phoneticPr fontId="10"/>
  </si>
  <si>
    <t>処理時間
[min]</t>
    <rPh sb="0" eb="2">
      <t>ショリ</t>
    </rPh>
    <rPh sb="2" eb="4">
      <t>ジカン</t>
    </rPh>
    <phoneticPr fontId="10"/>
  </si>
  <si>
    <t>幅広ガン</t>
    <rPh sb="0" eb="2">
      <t>ハバヒロ</t>
    </rPh>
    <phoneticPr fontId="10"/>
  </si>
  <si>
    <t>ノズル
スリット幅</t>
    <rPh sb="8" eb="9">
      <t>ハバ</t>
    </rPh>
    <phoneticPr fontId="10"/>
  </si>
  <si>
    <t>φ2.0</t>
    <phoneticPr fontId="10"/>
  </si>
  <si>
    <t>φ1.2</t>
    <phoneticPr fontId="10"/>
  </si>
  <si>
    <t>0.15, 0.20, 0.25</t>
    <phoneticPr fontId="10"/>
  </si>
  <si>
    <t>ΔP=0.01</t>
    <phoneticPr fontId="10"/>
  </si>
  <si>
    <t>内圧差
[MPa]</t>
    <rPh sb="0" eb="2">
      <t>ナイアツ</t>
    </rPh>
    <rPh sb="2" eb="3">
      <t>サ</t>
    </rPh>
    <phoneticPr fontId="10"/>
  </si>
  <si>
    <t>-</t>
    <phoneticPr fontId="10"/>
  </si>
  <si>
    <t>走査</t>
    <rPh sb="0" eb="2">
      <t>ソウサ</t>
    </rPh>
    <phoneticPr fontId="10"/>
  </si>
  <si>
    <t>入力項目</t>
    <rPh sb="0" eb="2">
      <t>ニュウリョク</t>
    </rPh>
    <rPh sb="2" eb="4">
      <t>コウモク</t>
    </rPh>
    <phoneticPr fontId="10"/>
  </si>
  <si>
    <t>共通条件</t>
    <rPh sb="0" eb="2">
      <t>キョウツウ</t>
    </rPh>
    <rPh sb="2" eb="4">
      <t>ジョウケン</t>
    </rPh>
    <phoneticPr fontId="10"/>
  </si>
  <si>
    <t>A</t>
    <phoneticPr fontId="10"/>
  </si>
  <si>
    <t>停止</t>
    <rPh sb="0" eb="2">
      <t>テイシ</t>
    </rPh>
    <phoneticPr fontId="10"/>
  </si>
  <si>
    <t>B</t>
    <phoneticPr fontId="10"/>
  </si>
  <si>
    <t>B</t>
    <phoneticPr fontId="10"/>
  </si>
  <si>
    <t>2mm</t>
    <phoneticPr fontId="10"/>
  </si>
  <si>
    <t>-</t>
    <phoneticPr fontId="10"/>
  </si>
  <si>
    <t>B</t>
    <phoneticPr fontId="10"/>
  </si>
  <si>
    <t>0.20, 0.30, 0.40</t>
    <phoneticPr fontId="10"/>
  </si>
  <si>
    <t>φ2.5</t>
    <phoneticPr fontId="10"/>
  </si>
  <si>
    <t>エア圧0.20MPa時は、ポンプ圧0.20MPa</t>
    <rPh sb="2" eb="3">
      <t>アツ</t>
    </rPh>
    <rPh sb="10" eb="11">
      <t>ジ</t>
    </rPh>
    <rPh sb="16" eb="17">
      <t>アツ</t>
    </rPh>
    <phoneticPr fontId="10"/>
  </si>
  <si>
    <t>備考</t>
    <rPh sb="0" eb="2">
      <t>ビコウ</t>
    </rPh>
    <phoneticPr fontId="10"/>
  </si>
  <si>
    <t>ΔP=0.08</t>
    <phoneticPr fontId="10"/>
  </si>
  <si>
    <t>φ1.8</t>
    <phoneticPr fontId="10"/>
  </si>
  <si>
    <t>ミニベロガン</t>
    <phoneticPr fontId="10"/>
  </si>
  <si>
    <t>3*6</t>
    <phoneticPr fontId="10"/>
  </si>
  <si>
    <t>φ2.0*2</t>
    <phoneticPr fontId="10"/>
  </si>
  <si>
    <t>2.5*4.5*2</t>
    <phoneticPr fontId="10"/>
  </si>
  <si>
    <t>ノズル短手方向に走査処理</t>
    <rPh sb="3" eb="4">
      <t>タン</t>
    </rPh>
    <rPh sb="4" eb="5">
      <t>テ</t>
    </rPh>
    <rPh sb="5" eb="7">
      <t>ホウコウ</t>
    </rPh>
    <rPh sb="8" eb="10">
      <t>ソウサ</t>
    </rPh>
    <rPh sb="10" eb="12">
      <t>ショリ</t>
    </rPh>
    <phoneticPr fontId="10"/>
  </si>
  <si>
    <t>4*7</t>
    <phoneticPr fontId="10"/>
  </si>
  <si>
    <t>3*12</t>
    <phoneticPr fontId="10"/>
  </si>
  <si>
    <t>10.5*2.5*2</t>
    <phoneticPr fontId="10"/>
  </si>
  <si>
    <t>6*12</t>
    <phoneticPr fontId="10"/>
  </si>
  <si>
    <t>φ3.5*2</t>
    <phoneticPr fontId="10"/>
  </si>
  <si>
    <t>φ2.2*4</t>
    <phoneticPr fontId="10"/>
  </si>
  <si>
    <t>コンパクトガン</t>
    <phoneticPr fontId="10"/>
  </si>
  <si>
    <t>C</t>
    <phoneticPr fontId="10"/>
  </si>
  <si>
    <t>-</t>
    <phoneticPr fontId="10"/>
  </si>
  <si>
    <t>-</t>
    <phoneticPr fontId="10"/>
  </si>
  <si>
    <t>処理前
[g]</t>
    <rPh sb="0" eb="2">
      <t>ショリ</t>
    </rPh>
    <rPh sb="2" eb="3">
      <t>マエ</t>
    </rPh>
    <phoneticPr fontId="10"/>
  </si>
  <si>
    <t>処理後
[g]</t>
    <rPh sb="0" eb="2">
      <t>ショリ</t>
    </rPh>
    <rPh sb="2" eb="3">
      <t>ゴ</t>
    </rPh>
    <phoneticPr fontId="10"/>
  </si>
  <si>
    <t>処理時間
[min]</t>
    <rPh sb="0" eb="2">
      <t>ショリ</t>
    </rPh>
    <rPh sb="2" eb="4">
      <t>ジカン</t>
    </rPh>
    <phoneticPr fontId="10"/>
  </si>
  <si>
    <t>削れ量
[g/min]</t>
    <rPh sb="0" eb="1">
      <t>ケズ</t>
    </rPh>
    <rPh sb="2" eb="3">
      <t>リョウ</t>
    </rPh>
    <phoneticPr fontId="10"/>
  </si>
  <si>
    <t>表面粗さ</t>
    <rPh sb="0" eb="2">
      <t>ヒョウメン</t>
    </rPh>
    <rPh sb="2" eb="3">
      <t>アラ</t>
    </rPh>
    <phoneticPr fontId="10"/>
  </si>
  <si>
    <t>削れ量</t>
    <rPh sb="0" eb="1">
      <t>ケズ</t>
    </rPh>
    <rPh sb="2" eb="3">
      <t>リョウ</t>
    </rPh>
    <phoneticPr fontId="10"/>
  </si>
  <si>
    <t>Ra
[μm]</t>
    <phoneticPr fontId="22"/>
  </si>
  <si>
    <t>Rz
[μm]</t>
    <phoneticPr fontId="22"/>
  </si>
  <si>
    <t>RzJIS
[μm]</t>
    <phoneticPr fontId="22"/>
  </si>
  <si>
    <t>▼基準片処理条件</t>
    <rPh sb="1" eb="3">
      <t>キジュン</t>
    </rPh>
    <rPh sb="3" eb="4">
      <t>ヘン</t>
    </rPh>
    <rPh sb="4" eb="6">
      <t>ショリ</t>
    </rPh>
    <rPh sb="6" eb="8">
      <t>ジョウケン</t>
    </rPh>
    <phoneticPr fontId="10"/>
  </si>
  <si>
    <t>テスト担当</t>
    <rPh sb="3" eb="5">
      <t>タントウ</t>
    </rPh>
    <phoneticPr fontId="10"/>
  </si>
  <si>
    <t>計測器</t>
    <rPh sb="0" eb="3">
      <t>ケイソクキ</t>
    </rPh>
    <phoneticPr fontId="10"/>
  </si>
  <si>
    <t>触針</t>
    <rPh sb="0" eb="1">
      <t>ショク</t>
    </rPh>
    <rPh sb="1" eb="2">
      <t>シン</t>
    </rPh>
    <phoneticPr fontId="10"/>
  </si>
  <si>
    <t>レンズ倍率</t>
    <rPh sb="3" eb="5">
      <t>バイリツ</t>
    </rPh>
    <phoneticPr fontId="10"/>
  </si>
  <si>
    <t>λc</t>
    <phoneticPr fontId="10"/>
  </si>
  <si>
    <t>λs</t>
    <phoneticPr fontId="10"/>
  </si>
  <si>
    <t>λc</t>
    <phoneticPr fontId="10"/>
  </si>
  <si>
    <t>λs</t>
    <phoneticPr fontId="10"/>
  </si>
  <si>
    <t>基準長数</t>
    <rPh sb="0" eb="2">
      <t>キジュン</t>
    </rPh>
    <rPh sb="2" eb="3">
      <t>チョウ</t>
    </rPh>
    <rPh sb="3" eb="4">
      <t>スウ</t>
    </rPh>
    <phoneticPr fontId="10"/>
  </si>
  <si>
    <t>計測速度</t>
    <rPh sb="0" eb="2">
      <t>ケイソク</t>
    </rPh>
    <rPh sb="2" eb="4">
      <t>ソクド</t>
    </rPh>
    <phoneticPr fontId="10"/>
  </si>
  <si>
    <t>・研磨材、ガン情報入力欄</t>
    <rPh sb="1" eb="4">
      <t>ケンマザイ</t>
    </rPh>
    <rPh sb="7" eb="9">
      <t>ジョウホウ</t>
    </rPh>
    <rPh sb="9" eb="11">
      <t>ニュウリョク</t>
    </rPh>
    <rPh sb="11" eb="12">
      <t>ラン</t>
    </rPh>
    <phoneticPr fontId="10"/>
  </si>
  <si>
    <t>　エア圧：〇〇MPa</t>
    <rPh sb="3" eb="4">
      <t>アツ</t>
    </rPh>
    <phoneticPr fontId="10"/>
  </si>
  <si>
    <t>-</t>
    <phoneticPr fontId="10"/>
  </si>
  <si>
    <t>0.25mm/s</t>
    <phoneticPr fontId="10"/>
  </si>
  <si>
    <t>2.5μm</t>
    <phoneticPr fontId="10"/>
  </si>
  <si>
    <t>0.8mm</t>
    <phoneticPr fontId="10"/>
  </si>
  <si>
    <t>基準片処理結果</t>
    <rPh sb="0" eb="2">
      <t>キジュン</t>
    </rPh>
    <rPh sb="2" eb="3">
      <t>ヘン</t>
    </rPh>
    <rPh sb="3" eb="5">
      <t>ショリ</t>
    </rPh>
    <rPh sb="5" eb="7">
      <t>ケッカ</t>
    </rPh>
    <phoneticPr fontId="10"/>
  </si>
  <si>
    <t>共通</t>
    <rPh sb="0" eb="2">
      <t>キョウツウ</t>
    </rPh>
    <phoneticPr fontId="10"/>
  </si>
  <si>
    <t>表面粗さ</t>
    <rPh sb="0" eb="2">
      <t>ヒョウメン</t>
    </rPh>
    <rPh sb="2" eb="3">
      <t>アラ</t>
    </rPh>
    <phoneticPr fontId="10"/>
  </si>
  <si>
    <t>削れ量</t>
    <rPh sb="0" eb="1">
      <t>ケズ</t>
    </rPh>
    <rPh sb="2" eb="3">
      <t>リョウ</t>
    </rPh>
    <phoneticPr fontId="10"/>
  </si>
  <si>
    <t>使用T/P
(粗さ)</t>
    <rPh sb="0" eb="2">
      <t>シヨウ</t>
    </rPh>
    <rPh sb="7" eb="8">
      <t>アラ</t>
    </rPh>
    <phoneticPr fontId="10"/>
  </si>
  <si>
    <t>使用T/P
(削れ量)</t>
    <rPh sb="0" eb="2">
      <t>シヨウ</t>
    </rPh>
    <rPh sb="7" eb="8">
      <t>ケズ</t>
    </rPh>
    <rPh sb="9" eb="10">
      <t>リョウ</t>
    </rPh>
    <phoneticPr fontId="10"/>
  </si>
  <si>
    <t>処理枚数
(粗さ)
[枚]</t>
    <rPh sb="0" eb="2">
      <t>ショリ</t>
    </rPh>
    <rPh sb="2" eb="4">
      <t>マイスウ</t>
    </rPh>
    <rPh sb="6" eb="7">
      <t>アラ</t>
    </rPh>
    <rPh sb="11" eb="12">
      <t>マイ</t>
    </rPh>
    <phoneticPr fontId="10"/>
  </si>
  <si>
    <t>処理枚数
(削れ量)
[枚]</t>
    <rPh sb="0" eb="2">
      <t>ショリ</t>
    </rPh>
    <rPh sb="2" eb="4">
      <t>マイスウ</t>
    </rPh>
    <rPh sb="6" eb="7">
      <t>ケズ</t>
    </rPh>
    <rPh sb="8" eb="9">
      <t>リョウ</t>
    </rPh>
    <rPh sb="12" eb="13">
      <t>マイ</t>
    </rPh>
    <phoneticPr fontId="10"/>
  </si>
  <si>
    <r>
      <t>・処理結果入力欄</t>
    </r>
    <r>
      <rPr>
        <sz val="11"/>
        <color rgb="FFFF0000"/>
        <rFont val="ＭＳ Ｐゴシック"/>
        <family val="3"/>
        <charset val="128"/>
        <scheme val="minor"/>
      </rPr>
      <t>（結果を各エア圧の社内用データにコピペすること）</t>
    </r>
    <rPh sb="1" eb="3">
      <t>ショリ</t>
    </rPh>
    <rPh sb="3" eb="5">
      <t>ケッカ</t>
    </rPh>
    <rPh sb="5" eb="7">
      <t>ニュウリョク</t>
    </rPh>
    <rPh sb="7" eb="8">
      <t>ラン</t>
    </rPh>
    <rPh sb="9" eb="11">
      <t>ケッカ</t>
    </rPh>
    <phoneticPr fontId="10"/>
  </si>
  <si>
    <r>
      <t>・処理条件出力欄</t>
    </r>
    <r>
      <rPr>
        <sz val="11"/>
        <color rgb="FFFF0000"/>
        <rFont val="ＭＳ Ｐゴシック"/>
        <family val="3"/>
        <charset val="128"/>
        <scheme val="minor"/>
      </rPr>
      <t>（各エア圧の社内用データ欄にコピペすること）</t>
    </r>
    <rPh sb="1" eb="3">
      <t>ショリ</t>
    </rPh>
    <rPh sb="3" eb="5">
      <t>ジョウケン</t>
    </rPh>
    <rPh sb="5" eb="7">
      <t>シュツリョク</t>
    </rPh>
    <rPh sb="7" eb="8">
      <t>ラン</t>
    </rPh>
    <rPh sb="9" eb="10">
      <t>カク</t>
    </rPh>
    <rPh sb="12" eb="13">
      <t>アツ</t>
    </rPh>
    <rPh sb="14" eb="16">
      <t>シャナイ</t>
    </rPh>
    <rPh sb="16" eb="17">
      <t>ヨウ</t>
    </rPh>
    <rPh sb="20" eb="21">
      <t>ラン</t>
    </rPh>
    <phoneticPr fontId="10"/>
  </si>
  <si>
    <t>処理方法
(粗さ)</t>
    <rPh sb="0" eb="2">
      <t>ショリ</t>
    </rPh>
    <rPh sb="2" eb="4">
      <t>ホウホウ</t>
    </rPh>
    <rPh sb="6" eb="7">
      <t>アラ</t>
    </rPh>
    <phoneticPr fontId="10"/>
  </si>
  <si>
    <t>処理方法
(削れ量)</t>
    <rPh sb="0" eb="2">
      <t>ショリ</t>
    </rPh>
    <rPh sb="2" eb="4">
      <t>ホウホウ</t>
    </rPh>
    <rPh sb="6" eb="7">
      <t>ケズ</t>
    </rPh>
    <rPh sb="8" eb="9">
      <t>リョウ</t>
    </rPh>
    <phoneticPr fontId="10"/>
  </si>
  <si>
    <t>λc</t>
  </si>
  <si>
    <t>λs</t>
  </si>
  <si>
    <t>▼事前記入項目（レポート内に記入しているものは記入不要）</t>
    <rPh sb="1" eb="3">
      <t>ジゼン</t>
    </rPh>
    <rPh sb="3" eb="5">
      <t>キニュウ</t>
    </rPh>
    <rPh sb="5" eb="7">
      <t>コウモク</t>
    </rPh>
    <rPh sb="12" eb="13">
      <t>ナイ</t>
    </rPh>
    <rPh sb="14" eb="16">
      <t>キニュウ</t>
    </rPh>
    <rPh sb="23" eb="25">
      <t>キニュウ</t>
    </rPh>
    <rPh sb="25" eb="27">
      <t>フヨウ</t>
    </rPh>
    <phoneticPr fontId="10"/>
  </si>
  <si>
    <t>目的</t>
    <rPh sb="0" eb="2">
      <t>モクテキ</t>
    </rPh>
    <phoneticPr fontId="10"/>
  </si>
  <si>
    <t>処理面</t>
    <rPh sb="0" eb="2">
      <t>ショリ</t>
    </rPh>
    <rPh sb="2" eb="3">
      <t>メン</t>
    </rPh>
    <phoneticPr fontId="10"/>
  </si>
  <si>
    <t>目標コスト</t>
    <rPh sb="0" eb="2">
      <t>モクヒョウ</t>
    </rPh>
    <phoneticPr fontId="10"/>
  </si>
  <si>
    <t>ガン</t>
    <phoneticPr fontId="10"/>
  </si>
  <si>
    <t>治具</t>
    <rPh sb="0" eb="2">
      <t>ジグ</t>
    </rPh>
    <phoneticPr fontId="10"/>
  </si>
  <si>
    <t>提出条件数</t>
    <rPh sb="0" eb="2">
      <t>テイシュツ</t>
    </rPh>
    <rPh sb="2" eb="4">
      <t>ジョウケン</t>
    </rPh>
    <rPh sb="4" eb="5">
      <t>スウ</t>
    </rPh>
    <phoneticPr fontId="10"/>
  </si>
  <si>
    <r>
      <t>1条件あたり</t>
    </r>
    <r>
      <rPr>
        <sz val="11"/>
        <rFont val="ＭＳ Ｐゴシック"/>
        <family val="3"/>
        <charset val="128"/>
      </rPr>
      <t>n数</t>
    </r>
    <rPh sb="1" eb="3">
      <t>ジョウケン</t>
    </rPh>
    <rPh sb="7" eb="8">
      <t>スウ</t>
    </rPh>
    <phoneticPr fontId="10"/>
  </si>
  <si>
    <t>固定因子</t>
    <rPh sb="0" eb="2">
      <t>コテイ</t>
    </rPh>
    <rPh sb="2" eb="4">
      <t>インシ</t>
    </rPh>
    <phoneticPr fontId="10"/>
  </si>
  <si>
    <t>変更因子</t>
    <rPh sb="0" eb="2">
      <t>ヘンコウ</t>
    </rPh>
    <rPh sb="2" eb="4">
      <t>インシ</t>
    </rPh>
    <phoneticPr fontId="10"/>
  </si>
  <si>
    <t>計測・評価項目</t>
    <rPh sb="0" eb="2">
      <t>ケイソク</t>
    </rPh>
    <rPh sb="3" eb="5">
      <t>ヒョウカ</t>
    </rPh>
    <rPh sb="5" eb="7">
      <t>コウモク</t>
    </rPh>
    <phoneticPr fontId="10"/>
  </si>
  <si>
    <t>目標品質</t>
    <rPh sb="0" eb="4">
      <t>モクヒョウヒンシツ</t>
    </rPh>
    <phoneticPr fontId="10"/>
  </si>
  <si>
    <t>事前準備</t>
    <rPh sb="0" eb="2">
      <t>ジゼン</t>
    </rPh>
    <rPh sb="2" eb="4">
      <t>ジュンビ</t>
    </rPh>
    <phoneticPr fontId="10"/>
  </si>
  <si>
    <t>ワーク
回転速度</t>
    <rPh sb="4" eb="6">
      <t>カイテン</t>
    </rPh>
    <rPh sb="6" eb="8">
      <t>ソクド</t>
    </rPh>
    <phoneticPr fontId="10"/>
  </si>
  <si>
    <t>予想作業時間</t>
    <rPh sb="0" eb="2">
      <t>ヨソウ</t>
    </rPh>
    <rPh sb="2" eb="4">
      <t>サギョウ</t>
    </rPh>
    <rPh sb="4" eb="6">
      <t>ジカン</t>
    </rPh>
    <phoneticPr fontId="10"/>
  </si>
  <si>
    <r>
      <t>[min</t>
    </r>
    <r>
      <rPr>
        <vertAlign val="superscript"/>
        <sz val="10"/>
        <rFont val="ＭＳ Ｐゴシック"/>
        <family val="3"/>
        <charset val="128"/>
      </rPr>
      <t>-1</t>
    </r>
    <r>
      <rPr>
        <sz val="10"/>
        <rFont val="ＭＳ Ｐゴシック"/>
        <family val="3"/>
        <charset val="128"/>
      </rPr>
      <t>]</t>
    </r>
    <phoneticPr fontId="10"/>
  </si>
  <si>
    <r>
      <t>▼処理条件表</t>
    </r>
    <r>
      <rPr>
        <b/>
        <sz val="11"/>
        <rFont val="ＭＳ Ｐゴシック"/>
        <family val="3"/>
        <charset val="128"/>
      </rPr>
      <t/>
    </r>
    <rPh sb="1" eb="3">
      <t>ショリ</t>
    </rPh>
    <rPh sb="3" eb="5">
      <t>ジョウケン</t>
    </rPh>
    <rPh sb="5" eb="6">
      <t>ヒョウ</t>
    </rPh>
    <phoneticPr fontId="10"/>
  </si>
  <si>
    <t>表面粗さ [μm]</t>
    <rPh sb="0" eb="2">
      <t>ヒョウメン</t>
    </rPh>
    <rPh sb="2" eb="3">
      <t>アラ</t>
    </rPh>
    <phoneticPr fontId="10"/>
  </si>
  <si>
    <t>評価①</t>
    <rPh sb="0" eb="2">
      <t>ヒョウカ</t>
    </rPh>
    <phoneticPr fontId="10"/>
  </si>
  <si>
    <t>評価②</t>
    <rPh sb="0" eb="2">
      <t>ヒョウカ</t>
    </rPh>
    <phoneticPr fontId="10"/>
  </si>
  <si>
    <t>Ra</t>
    <phoneticPr fontId="10"/>
  </si>
  <si>
    <t>[mm/s]</t>
    <phoneticPr fontId="10"/>
  </si>
  <si>
    <t>[°]</t>
    <phoneticPr fontId="10"/>
  </si>
  <si>
    <r>
      <t>[min</t>
    </r>
    <r>
      <rPr>
        <vertAlign val="superscript"/>
        <sz val="10"/>
        <rFont val="ＭＳ Ｐゴシック"/>
        <family val="3"/>
        <charset val="128"/>
      </rPr>
      <t>-1</t>
    </r>
    <r>
      <rPr>
        <sz val="10"/>
        <rFont val="ＭＳ Ｐゴシック"/>
        <family val="3"/>
        <charset val="128"/>
      </rPr>
      <t>]</t>
    </r>
    <phoneticPr fontId="10"/>
  </si>
  <si>
    <t>[MPa] ※1.</t>
    <phoneticPr fontId="10"/>
  </si>
  <si>
    <t>[s]</t>
    <phoneticPr fontId="10"/>
  </si>
  <si>
    <t>[°]</t>
    <phoneticPr fontId="10"/>
  </si>
  <si>
    <t>Rz</t>
    <phoneticPr fontId="10"/>
  </si>
  <si>
    <t>RzJIS</t>
    <phoneticPr fontId="10"/>
  </si>
  <si>
    <t>記入者</t>
    <rPh sb="0" eb="2">
      <t>キニュウ</t>
    </rPh>
    <rPh sb="2" eb="3">
      <t>シャ</t>
    </rPh>
    <phoneticPr fontId="10"/>
  </si>
  <si>
    <t>-</t>
    <phoneticPr fontId="10"/>
  </si>
  <si>
    <t>ラムダ Type Ⅱ A</t>
    <phoneticPr fontId="22"/>
  </si>
  <si>
    <t>ラムダ Type Ⅱ B</t>
    <phoneticPr fontId="22"/>
  </si>
  <si>
    <t>ラムダ Type Ⅱ C</t>
    <phoneticPr fontId="22"/>
  </si>
  <si>
    <t>レーザー</t>
    <phoneticPr fontId="10"/>
  </si>
  <si>
    <t>x50</t>
    <phoneticPr fontId="10"/>
  </si>
  <si>
    <t>-</t>
    <phoneticPr fontId="10"/>
  </si>
  <si>
    <t>-</t>
    <phoneticPr fontId="10"/>
  </si>
  <si>
    <t>2.5*90</t>
    <phoneticPr fontId="10"/>
  </si>
  <si>
    <t>2.5*120</t>
    <phoneticPr fontId="10"/>
  </si>
  <si>
    <t>WLS-M2</t>
    <phoneticPr fontId="22"/>
  </si>
  <si>
    <t>WLS-M1</t>
    <phoneticPr fontId="22"/>
  </si>
  <si>
    <t>更新日：2021/6/29</t>
    <rPh sb="0" eb="3">
      <t>コウシンビ</t>
    </rPh>
    <phoneticPr fontId="10"/>
  </si>
  <si>
    <t>11L</t>
    <phoneticPr fontId="10"/>
  </si>
  <si>
    <t>2.5*90</t>
    <phoneticPr fontId="10"/>
  </si>
  <si>
    <t>1*320</t>
    <phoneticPr fontId="10"/>
  </si>
  <si>
    <t>幅広ガン1*320</t>
    <rPh sb="0" eb="2">
      <t>ハバヒロ</t>
    </rPh>
    <phoneticPr fontId="10"/>
  </si>
  <si>
    <t>幅広ガン1*630</t>
    <rPh sb="0" eb="2">
      <t>ハバヒロ</t>
    </rPh>
    <phoneticPr fontId="10"/>
  </si>
  <si>
    <t>幅広ガン1*90</t>
    <rPh sb="0" eb="2">
      <t>ハバヒロ</t>
    </rPh>
    <phoneticPr fontId="10"/>
  </si>
  <si>
    <t>コンパクトガン9.5H</t>
    <phoneticPr fontId="10"/>
  </si>
  <si>
    <t>幅広ガン2*25</t>
    <rPh sb="0" eb="2">
      <t>ハバヒロ</t>
    </rPh>
    <phoneticPr fontId="10"/>
  </si>
  <si>
    <t>コンパクトガン9.5</t>
    <phoneticPr fontId="10"/>
  </si>
  <si>
    <t>幅広ガン2.5*90</t>
    <rPh sb="0" eb="2">
      <t>ハバヒロ</t>
    </rPh>
    <phoneticPr fontId="10"/>
  </si>
  <si>
    <t>幅広ガン2.5*120</t>
    <rPh sb="0" eb="2">
      <t>ハバヒロ</t>
    </rPh>
    <phoneticPr fontId="10"/>
  </si>
  <si>
    <t>コンパクトガン11L</t>
    <phoneticPr fontId="10"/>
  </si>
  <si>
    <t>ガン名称</t>
    <rPh sb="2" eb="4">
      <t>メイショウ</t>
    </rPh>
    <phoneticPr fontId="10"/>
  </si>
  <si>
    <t>幅広ガン</t>
    <rPh sb="0" eb="2">
      <t>ハバヒロ</t>
    </rPh>
    <phoneticPr fontId="10"/>
  </si>
  <si>
    <t>コンパクトガン</t>
    <phoneticPr fontId="10"/>
  </si>
  <si>
    <t>1*630</t>
    <phoneticPr fontId="10"/>
  </si>
  <si>
    <r>
      <t>ｴｱ消費量
補正値
[m</t>
    </r>
    <r>
      <rPr>
        <vertAlign val="superscript"/>
        <sz val="9"/>
        <rFont val="ＭＳ Ｐゴシック"/>
        <family val="3"/>
        <charset val="128"/>
      </rPr>
      <t>3</t>
    </r>
    <r>
      <rPr>
        <sz val="9"/>
        <rFont val="ＭＳ Ｐゴシック"/>
        <family val="3"/>
        <charset val="128"/>
      </rPr>
      <t>/min]
(NTP)</t>
    </r>
    <rPh sb="2" eb="5">
      <t>ショウヒリョウ</t>
    </rPh>
    <rPh sb="6" eb="9">
      <t>ホセイチ</t>
    </rPh>
    <phoneticPr fontId="10"/>
  </si>
  <si>
    <t>不飽和ﾎﾟﾘｴｽﾃﾙ</t>
    <rPh sb="0" eb="3">
      <t>フホウワ</t>
    </rPh>
    <phoneticPr fontId="10"/>
  </si>
  <si>
    <t>多角形</t>
    <rPh sb="0" eb="3">
      <t>タカクケイ</t>
    </rPh>
    <phoneticPr fontId="10"/>
  </si>
  <si>
    <t>重曹</t>
    <rPh sb="0" eb="2">
      <t>ジュウソウ</t>
    </rPh>
    <phoneticPr fontId="10"/>
  </si>
  <si>
    <t>SMR003</t>
    <phoneticPr fontId="10"/>
  </si>
  <si>
    <t>MCナイロン</t>
    <phoneticPr fontId="10"/>
  </si>
  <si>
    <t>アプリコット</t>
    <phoneticPr fontId="10"/>
  </si>
  <si>
    <t>クルミ</t>
    <phoneticPr fontId="10"/>
  </si>
  <si>
    <t>重曹#100</t>
    <rPh sb="0" eb="2">
      <t>ジュウソウ</t>
    </rPh>
    <phoneticPr fontId="10"/>
  </si>
  <si>
    <t>PEW40-60</t>
    <phoneticPr fontId="10"/>
  </si>
  <si>
    <t>PEW60-80</t>
    <phoneticPr fontId="10"/>
  </si>
  <si>
    <t>PEW70-90</t>
    <phoneticPr fontId="10"/>
  </si>
  <si>
    <t>PEW80-90</t>
    <phoneticPr fontId="10"/>
  </si>
  <si>
    <t>アプリコット#40</t>
    <phoneticPr fontId="10"/>
  </si>
  <si>
    <t>アプリコット#60</t>
    <phoneticPr fontId="10"/>
  </si>
  <si>
    <t>アプリコットF180</t>
    <phoneticPr fontId="10"/>
  </si>
  <si>
    <t>クルミ#46</t>
    <phoneticPr fontId="10"/>
  </si>
  <si>
    <t>クルミ#60</t>
    <phoneticPr fontId="10"/>
  </si>
  <si>
    <t>クルミ#80</t>
    <phoneticPr fontId="10"/>
  </si>
  <si>
    <t>435-151</t>
    <phoneticPr fontId="10"/>
  </si>
  <si>
    <t>303-151</t>
    <phoneticPr fontId="10"/>
  </si>
  <si>
    <t>154以下</t>
    <rPh sb="3" eb="5">
      <t>イカ</t>
    </rPh>
    <phoneticPr fontId="10"/>
  </si>
  <si>
    <t>420-297</t>
    <phoneticPr fontId="10"/>
  </si>
  <si>
    <t>297-210</t>
    <phoneticPr fontId="10"/>
  </si>
  <si>
    <t>210-149</t>
    <phoneticPr fontId="10"/>
  </si>
  <si>
    <t>125以下</t>
    <rPh sb="3" eb="5">
      <t>イカ</t>
    </rPh>
    <phoneticPr fontId="10"/>
  </si>
  <si>
    <t>円柱形</t>
    <rPh sb="0" eb="2">
      <t>エンチュウ</t>
    </rPh>
    <rPh sb="2" eb="3">
      <t>ケイ</t>
    </rPh>
    <phoneticPr fontId="10"/>
  </si>
  <si>
    <t>φ300*300</t>
    <phoneticPr fontId="10"/>
  </si>
  <si>
    <t>425-250</t>
    <phoneticPr fontId="10"/>
  </si>
  <si>
    <t>325-180</t>
    <phoneticPr fontId="10"/>
  </si>
  <si>
    <t>250-150</t>
    <phoneticPr fontId="10"/>
  </si>
  <si>
    <t>212-150</t>
    <phoneticPr fontId="10"/>
  </si>
  <si>
    <t>クルミF180</t>
    <phoneticPr fontId="10"/>
  </si>
  <si>
    <t>LPS-100C</t>
    <phoneticPr fontId="10"/>
  </si>
  <si>
    <t>LPS-60C-N</t>
    <phoneticPr fontId="10"/>
  </si>
  <si>
    <t>LPS-100C-S</t>
    <phoneticPr fontId="10"/>
  </si>
  <si>
    <t>LPS-60C-S</t>
    <phoneticPr fontId="10"/>
  </si>
  <si>
    <t>フェノール樹脂</t>
    <rPh sb="5" eb="7">
      <t>ジュシ</t>
    </rPh>
    <phoneticPr fontId="10"/>
  </si>
  <si>
    <t>球形</t>
    <rPh sb="0" eb="2">
      <t>キュウケイ</t>
    </rPh>
    <phoneticPr fontId="10"/>
  </si>
  <si>
    <t>ロボットブラスト（RB-1）</t>
    <phoneticPr fontId="10"/>
  </si>
  <si>
    <t>ロボットブラスト（RB-2）</t>
    <phoneticPr fontId="10"/>
  </si>
  <si>
    <t>ロボットブラスト（RB-3）</t>
    <phoneticPr fontId="10"/>
  </si>
  <si>
    <t>ロボットブラスト（RB-4）</t>
    <phoneticPr fontId="10"/>
  </si>
  <si>
    <t>ロボットブラスト（RB-5）</t>
    <phoneticPr fontId="10"/>
  </si>
  <si>
    <t>ロボットブラスト（RB-6）</t>
    <phoneticPr fontId="10"/>
  </si>
  <si>
    <t>ラムダ TYPE Ⅰ</t>
    <phoneticPr fontId="22"/>
  </si>
  <si>
    <t>MSB-S5</t>
    <phoneticPr fontId="22"/>
  </si>
  <si>
    <t>使用装置・研磨材情報の詳細はこちら（QRコードからもアクセス可能です）</t>
    <rPh sb="0" eb="2">
      <t>シヨウ</t>
    </rPh>
    <rPh sb="2" eb="4">
      <t>ソウチ</t>
    </rPh>
    <rPh sb="5" eb="8">
      <t>ケンマザイ</t>
    </rPh>
    <rPh sb="8" eb="10">
      <t>ジョウホウ</t>
    </rPh>
    <rPh sb="11" eb="13">
      <t>ショウサイ</t>
    </rPh>
    <rPh sb="30" eb="32">
      <t>カノウ</t>
    </rPh>
    <phoneticPr fontId="10"/>
  </si>
  <si>
    <t>天井シャワー</t>
    <rPh sb="0" eb="2">
      <t>テンジョウ</t>
    </rPh>
    <phoneticPr fontId="10"/>
  </si>
  <si>
    <t>使用</t>
    <rPh sb="0" eb="2">
      <t>シヨウ</t>
    </rPh>
    <phoneticPr fontId="22"/>
  </si>
  <si>
    <t>データまとめへのリンク</t>
    <phoneticPr fontId="10"/>
  </si>
  <si>
    <t>Jr. Type Ⅰ</t>
    <phoneticPr fontId="22"/>
  </si>
  <si>
    <t>ラムダ TYPE Ⅱ</t>
    <phoneticPr fontId="10"/>
  </si>
  <si>
    <t>Jr. Type Ⅱ</t>
  </si>
  <si>
    <t>Jr. Type Ⅰ</t>
    <phoneticPr fontId="10"/>
  </si>
  <si>
    <t>※1.エア圧は処理上の参考値となります。使用装置の配管抵抗等圧力損失の違いにより、若干のバラツキが発生する場合があります。</t>
  </si>
  <si>
    <t>▼固定条件</t>
    <rPh sb="1" eb="3">
      <t>コテイ</t>
    </rPh>
    <rPh sb="3" eb="5">
      <t>ジョウケン</t>
    </rPh>
    <phoneticPr fontId="10"/>
  </si>
  <si>
    <t>ロボットブラスト（RB-5）</t>
  </si>
  <si>
    <t>ラムダ TYPE 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</si>
</sst>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_ "/>
    <numFmt numFmtId="178" formatCode="0.0"/>
    <numFmt numFmtId="179" formatCode="0_);[Red]\(0\)"/>
    <numFmt numFmtId="180" formatCode="0.00_);[Red]\(0.00\)"/>
    <numFmt numFmtId="181" formatCode="0.000_ "/>
  </numFmts>
  <fonts count="55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9"/>
      <color rgb="FF000000"/>
      <name val="MS UI Gothic"/>
      <family val="3"/>
      <charset val="128"/>
    </font>
    <font>
      <sz val="11"/>
      <color rgb="FFFF0000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u/>
      <sz val="11"/>
      <color theme="1"/>
      <name val="ＭＳ Ｐゴシック"/>
      <family val="3"/>
      <charset val="128"/>
      <scheme val="minor"/>
    </font>
    <font>
      <u/>
      <sz val="10"/>
      <color theme="1"/>
      <name val="ＭＳ Ｐゴシック"/>
      <family val="2"/>
      <charset val="128"/>
      <scheme val="minor"/>
    </font>
    <font>
      <vertAlign val="superscript"/>
      <sz val="9"/>
      <name val="ＭＳ Ｐゴシック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theme="4"/>
      <name val="Meiryo UI"/>
      <family val="3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b/>
      <u/>
      <sz val="12"/>
      <color rgb="FFFF0000"/>
      <name val="Meiryo UI"/>
      <family val="3"/>
      <charset val="128"/>
    </font>
    <font>
      <sz val="12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0"/>
      <name val="ＭＳ Ｐゴシック"/>
      <family val="3"/>
      <charset val="128"/>
    </font>
    <font>
      <b/>
      <vertAlign val="superscript"/>
      <sz val="10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vertAlign val="superscript"/>
      <sz val="1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0"/>
      <color theme="1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 style="thin">
        <color indexed="64"/>
      </diagonal>
    </border>
    <border diagonalDown="1">
      <left/>
      <right style="thin">
        <color indexed="64"/>
      </right>
      <top style="double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Dot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0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53" fillId="0" borderId="0" applyNumberFormat="0" applyFill="0" applyBorder="0" applyAlignment="0" applyProtection="0"/>
  </cellStyleXfs>
  <cellXfs count="655">
    <xf numFmtId="0" fontId="0" fillId="0" borderId="0" xfId="0"/>
    <xf numFmtId="49" fontId="11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/>
    </xf>
    <xf numFmtId="49" fontId="9" fillId="0" borderId="14" xfId="0" applyNumberFormat="1" applyFont="1" applyBorder="1" applyAlignment="1">
      <alignment horizontal="left" vertical="center"/>
    </xf>
    <xf numFmtId="49" fontId="13" fillId="0" borderId="8" xfId="0" applyNumberFormat="1" applyFont="1" applyBorder="1" applyAlignment="1">
      <alignment horizontal="center" vertical="center"/>
    </xf>
    <xf numFmtId="49" fontId="11" fillId="0" borderId="24" xfId="0" applyNumberFormat="1" applyFont="1" applyBorder="1" applyAlignment="1">
      <alignment horizontal="left" vertical="center"/>
    </xf>
    <xf numFmtId="49" fontId="11" fillId="0" borderId="10" xfId="0" applyNumberFormat="1" applyFont="1" applyBorder="1" applyAlignment="1">
      <alignment horizontal="left" vertical="center"/>
    </xf>
    <xf numFmtId="49" fontId="0" fillId="0" borderId="0" xfId="0" applyNumberFormat="1" applyFont="1" applyAlignment="1">
      <alignment horizontal="left" vertical="center"/>
    </xf>
    <xf numFmtId="49" fontId="11" fillId="0" borderId="0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13" fillId="0" borderId="1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39" xfId="0" applyNumberFormat="1" applyFont="1" applyBorder="1" applyAlignment="1">
      <alignment horizontal="left" vertical="center"/>
    </xf>
    <xf numFmtId="0" fontId="9" fillId="0" borderId="39" xfId="0" applyNumberFormat="1" applyFont="1" applyBorder="1" applyAlignment="1">
      <alignment horizontal="left" vertical="center"/>
    </xf>
    <xf numFmtId="0" fontId="0" fillId="0" borderId="39" xfId="0" applyNumberFormat="1" applyBorder="1" applyAlignment="1">
      <alignment horizontal="left" vertical="center"/>
    </xf>
    <xf numFmtId="0" fontId="0" fillId="0" borderId="40" xfId="0" applyNumberFormat="1" applyFont="1" applyBorder="1" applyAlignment="1">
      <alignment horizontal="left" vertical="center"/>
    </xf>
    <xf numFmtId="0" fontId="16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left" vertical="center"/>
    </xf>
    <xf numFmtId="0" fontId="17" fillId="0" borderId="0" xfId="0" applyNumberFormat="1" applyFont="1" applyBorder="1" applyAlignment="1">
      <alignment horizontal="left" vertical="center"/>
    </xf>
    <xf numFmtId="0" fontId="0" fillId="0" borderId="0" xfId="0" applyNumberFormat="1" applyFont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/>
    </xf>
    <xf numFmtId="49" fontId="18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0" borderId="41" xfId="0" applyNumberFormat="1" applyFont="1" applyBorder="1" applyAlignment="1">
      <alignment horizontal="left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76" fontId="0" fillId="0" borderId="0" xfId="0" applyNumberFormat="1" applyFill="1" applyBorder="1"/>
    <xf numFmtId="0" fontId="0" fillId="0" borderId="0" xfId="0" applyFont="1" applyBorder="1"/>
    <xf numFmtId="176" fontId="0" fillId="0" borderId="17" xfId="0" applyNumberFormat="1" applyBorder="1" applyAlignment="1">
      <alignment horizontal="center" vertical="center"/>
    </xf>
    <xf numFmtId="176" fontId="0" fillId="0" borderId="4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176" fontId="0" fillId="2" borderId="8" xfId="0" applyNumberFormat="1" applyFill="1" applyBorder="1" applyAlignment="1">
      <alignment horizontal="center" vertical="center"/>
    </xf>
    <xf numFmtId="176" fontId="0" fillId="2" borderId="45" xfId="0" applyNumberForma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45" xfId="0" applyBorder="1" applyAlignment="1">
      <alignment vertical="center"/>
    </xf>
    <xf numFmtId="49" fontId="13" fillId="0" borderId="7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left" vertical="center"/>
    </xf>
    <xf numFmtId="0" fontId="0" fillId="0" borderId="4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1" fillId="0" borderId="0" xfId="1" applyFont="1" applyAlignment="1"/>
    <xf numFmtId="0" fontId="20" fillId="0" borderId="0" xfId="1" applyAlignment="1"/>
    <xf numFmtId="0" fontId="23" fillId="0" borderId="0" xfId="1" applyFont="1" applyAlignment="1"/>
    <xf numFmtId="0" fontId="24" fillId="0" borderId="0" xfId="1" applyFont="1" applyAlignment="1"/>
    <xf numFmtId="0" fontId="20" fillId="0" borderId="8" xfId="1" applyBorder="1" applyAlignment="1">
      <alignment horizontal="center" vertical="center"/>
    </xf>
    <xf numFmtId="0" fontId="28" fillId="0" borderId="0" xfId="2" applyFont="1" applyAlignment="1">
      <alignment vertical="center"/>
    </xf>
    <xf numFmtId="0" fontId="8" fillId="0" borderId="0" xfId="2">
      <alignment vertical="center"/>
    </xf>
    <xf numFmtId="0" fontId="8" fillId="0" borderId="3" xfId="2" applyBorder="1" applyAlignment="1">
      <alignment horizontal="center" vertical="center"/>
    </xf>
    <xf numFmtId="14" fontId="8" fillId="0" borderId="42" xfId="2" applyNumberFormat="1" applyBorder="1" applyAlignment="1">
      <alignment horizontal="center" vertical="center"/>
    </xf>
    <xf numFmtId="0" fontId="8" fillId="0" borderId="34" xfId="2" applyBorder="1" applyAlignment="1">
      <alignment horizontal="center" vertical="center"/>
    </xf>
    <xf numFmtId="0" fontId="8" fillId="0" borderId="45" xfId="2" applyBorder="1" applyAlignment="1">
      <alignment horizontal="center" vertical="center"/>
    </xf>
    <xf numFmtId="0" fontId="29" fillId="0" borderId="0" xfId="2" applyFont="1">
      <alignment vertical="center"/>
    </xf>
    <xf numFmtId="0" fontId="30" fillId="0" borderId="0" xfId="2" applyFont="1" applyAlignment="1">
      <alignment vertical="center"/>
    </xf>
    <xf numFmtId="0" fontId="8" fillId="0" borderId="48" xfId="2" applyBorder="1">
      <alignment vertical="center"/>
    </xf>
    <xf numFmtId="0" fontId="8" fillId="0" borderId="59" xfId="2" applyBorder="1">
      <alignment vertical="center"/>
    </xf>
    <xf numFmtId="0" fontId="8" fillId="0" borderId="0" xfId="2" applyBorder="1">
      <alignment vertical="center"/>
    </xf>
    <xf numFmtId="0" fontId="8" fillId="0" borderId="6" xfId="2" applyBorder="1">
      <alignment vertical="center"/>
    </xf>
    <xf numFmtId="0" fontId="8" fillId="0" borderId="17" xfId="2" applyBorder="1">
      <alignment vertical="center"/>
    </xf>
    <xf numFmtId="0" fontId="8" fillId="0" borderId="16" xfId="2" applyBorder="1">
      <alignment vertical="center"/>
    </xf>
    <xf numFmtId="0" fontId="8" fillId="0" borderId="60" xfId="2" applyBorder="1">
      <alignment vertical="center"/>
    </xf>
    <xf numFmtId="0" fontId="8" fillId="0" borderId="61" xfId="2" applyBorder="1">
      <alignment vertical="center"/>
    </xf>
    <xf numFmtId="0" fontId="8" fillId="0" borderId="62" xfId="2" applyBorder="1">
      <alignment vertical="center"/>
    </xf>
    <xf numFmtId="0" fontId="8" fillId="0" borderId="63" xfId="2" applyBorder="1">
      <alignment vertical="center"/>
    </xf>
    <xf numFmtId="0" fontId="8" fillId="0" borderId="64" xfId="2" applyBorder="1">
      <alignment vertical="center"/>
    </xf>
    <xf numFmtId="0" fontId="8" fillId="0" borderId="65" xfId="2" applyBorder="1">
      <alignment vertical="center"/>
    </xf>
    <xf numFmtId="0" fontId="8" fillId="0" borderId="70" xfId="2" applyBorder="1">
      <alignment vertical="center"/>
    </xf>
    <xf numFmtId="0" fontId="8" fillId="0" borderId="69" xfId="2" applyBorder="1">
      <alignment vertical="center"/>
    </xf>
    <xf numFmtId="0" fontId="8" fillId="0" borderId="71" xfId="2" applyBorder="1">
      <alignment vertical="center"/>
    </xf>
    <xf numFmtId="0" fontId="8" fillId="0" borderId="72" xfId="2" applyBorder="1">
      <alignment vertical="center"/>
    </xf>
    <xf numFmtId="0" fontId="8" fillId="0" borderId="73" xfId="2" applyBorder="1">
      <alignment vertical="center"/>
    </xf>
    <xf numFmtId="0" fontId="8" fillId="0" borderId="74" xfId="2" applyBorder="1">
      <alignment vertical="center"/>
    </xf>
    <xf numFmtId="0" fontId="8" fillId="0" borderId="75" xfId="2" applyBorder="1">
      <alignment vertical="center"/>
    </xf>
    <xf numFmtId="0" fontId="8" fillId="0" borderId="76" xfId="2" applyBorder="1" applyAlignment="1">
      <alignment vertical="center"/>
    </xf>
    <xf numFmtId="0" fontId="8" fillId="0" borderId="73" xfId="2" applyBorder="1" applyAlignment="1">
      <alignment vertical="center"/>
    </xf>
    <xf numFmtId="0" fontId="8" fillId="0" borderId="74" xfId="2" applyBorder="1" applyAlignment="1">
      <alignment vertical="center"/>
    </xf>
    <xf numFmtId="0" fontId="8" fillId="0" borderId="77" xfId="2" applyBorder="1" applyAlignment="1">
      <alignment vertical="center"/>
    </xf>
    <xf numFmtId="0" fontId="8" fillId="0" borderId="0" xfId="2" applyBorder="1" applyAlignment="1">
      <alignment vertical="center"/>
    </xf>
    <xf numFmtId="0" fontId="8" fillId="0" borderId="6" xfId="2" applyBorder="1" applyAlignment="1">
      <alignment vertical="center"/>
    </xf>
    <xf numFmtId="0" fontId="8" fillId="0" borderId="63" xfId="2" applyBorder="1" applyAlignment="1">
      <alignment vertical="center"/>
    </xf>
    <xf numFmtId="0" fontId="8" fillId="0" borderId="64" xfId="2" applyBorder="1" applyAlignment="1">
      <alignment vertical="center"/>
    </xf>
    <xf numFmtId="0" fontId="8" fillId="0" borderId="65" xfId="2" applyBorder="1" applyAlignment="1">
      <alignment vertical="center"/>
    </xf>
    <xf numFmtId="0" fontId="8" fillId="0" borderId="51" xfId="2" applyBorder="1" applyAlignment="1">
      <alignment vertical="center"/>
    </xf>
    <xf numFmtId="0" fontId="8" fillId="0" borderId="14" xfId="2" applyBorder="1" applyAlignment="1">
      <alignment vertical="center"/>
    </xf>
    <xf numFmtId="0" fontId="8" fillId="0" borderId="10" xfId="2" applyBorder="1" applyAlignment="1">
      <alignment vertical="center"/>
    </xf>
    <xf numFmtId="0" fontId="8" fillId="0" borderId="0" xfId="2" applyBorder="1" applyAlignment="1">
      <alignment horizontal="center" vertical="center" wrapText="1"/>
    </xf>
    <xf numFmtId="0" fontId="8" fillId="0" borderId="0" xfId="2" applyBorder="1" applyAlignment="1">
      <alignment horizontal="center" vertical="center"/>
    </xf>
    <xf numFmtId="0" fontId="8" fillId="0" borderId="3" xfId="2" applyBorder="1">
      <alignment vertical="center"/>
    </xf>
    <xf numFmtId="0" fontId="8" fillId="0" borderId="79" xfId="2" applyBorder="1">
      <alignment vertical="center"/>
    </xf>
    <xf numFmtId="0" fontId="8" fillId="0" borderId="50" xfId="2" applyBorder="1" applyAlignment="1">
      <alignment vertical="center"/>
    </xf>
    <xf numFmtId="0" fontId="8" fillId="0" borderId="11" xfId="2" applyBorder="1" applyAlignment="1">
      <alignment vertical="center"/>
    </xf>
    <xf numFmtId="0" fontId="8" fillId="0" borderId="12" xfId="2" applyBorder="1" applyAlignment="1">
      <alignment vertical="center"/>
    </xf>
    <xf numFmtId="0" fontId="8" fillId="0" borderId="30" xfId="2" applyBorder="1">
      <alignment vertical="center"/>
    </xf>
    <xf numFmtId="0" fontId="8" fillId="0" borderId="80" xfId="2" applyBorder="1">
      <alignment vertical="center"/>
    </xf>
    <xf numFmtId="49" fontId="12" fillId="0" borderId="2" xfId="0" applyNumberFormat="1" applyFont="1" applyFill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 shrinkToFit="1"/>
    </xf>
    <xf numFmtId="0" fontId="13" fillId="0" borderId="82" xfId="0" applyFont="1" applyFill="1" applyBorder="1" applyAlignment="1">
      <alignment horizontal="center" vertical="center"/>
    </xf>
    <xf numFmtId="49" fontId="13" fillId="0" borderId="8" xfId="0" applyNumberFormat="1" applyFont="1" applyFill="1" applyBorder="1" applyAlignment="1">
      <alignment horizontal="center" vertical="center"/>
    </xf>
    <xf numFmtId="49" fontId="13" fillId="0" borderId="32" xfId="0" applyNumberFormat="1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44" xfId="0" applyNumberFormat="1" applyFont="1" applyFill="1" applyBorder="1" applyAlignment="1">
      <alignment horizontal="center" vertical="center"/>
    </xf>
    <xf numFmtId="49" fontId="13" fillId="0" borderId="84" xfId="0" applyNumberFormat="1" applyFont="1" applyBorder="1" applyAlignment="1">
      <alignment horizontal="center" vertical="center" shrinkToFit="1"/>
    </xf>
    <xf numFmtId="49" fontId="13" fillId="0" borderId="85" xfId="0" applyNumberFormat="1" applyFont="1" applyBorder="1" applyAlignment="1">
      <alignment horizontal="center" vertical="center"/>
    </xf>
    <xf numFmtId="49" fontId="13" fillId="0" borderId="86" xfId="0" applyNumberFormat="1" applyFont="1" applyBorder="1" applyAlignment="1">
      <alignment horizontal="center" vertical="center" shrinkToFit="1"/>
    </xf>
    <xf numFmtId="49" fontId="13" fillId="0" borderId="18" xfId="0" applyNumberFormat="1" applyFont="1" applyFill="1" applyBorder="1" applyAlignment="1">
      <alignment horizontal="center" vertical="center"/>
    </xf>
    <xf numFmtId="49" fontId="13" fillId="0" borderId="49" xfId="0" applyNumberFormat="1" applyFont="1" applyFill="1" applyBorder="1" applyAlignment="1">
      <alignment horizontal="center" vertical="center"/>
    </xf>
    <xf numFmtId="0" fontId="23" fillId="0" borderId="0" xfId="1" applyFont="1" applyAlignment="1">
      <alignment horizontal="left"/>
    </xf>
    <xf numFmtId="0" fontId="32" fillId="0" borderId="0" xfId="1" applyFont="1">
      <alignment vertical="center"/>
    </xf>
    <xf numFmtId="0" fontId="32" fillId="0" borderId="10" xfId="1" applyFont="1" applyBorder="1">
      <alignment vertical="center"/>
    </xf>
    <xf numFmtId="0" fontId="32" fillId="0" borderId="14" xfId="1" applyFont="1" applyBorder="1">
      <alignment vertical="center"/>
    </xf>
    <xf numFmtId="0" fontId="32" fillId="0" borderId="24" xfId="1" applyFont="1" applyBorder="1">
      <alignment vertical="center"/>
    </xf>
    <xf numFmtId="0" fontId="32" fillId="0" borderId="6" xfId="1" applyFont="1" applyBorder="1">
      <alignment vertical="center"/>
    </xf>
    <xf numFmtId="0" fontId="32" fillId="0" borderId="0" xfId="1" applyFont="1" applyBorder="1">
      <alignment vertical="center"/>
    </xf>
    <xf numFmtId="0" fontId="32" fillId="0" borderId="52" xfId="1" applyFont="1" applyBorder="1">
      <alignment vertical="center"/>
    </xf>
    <xf numFmtId="0" fontId="32" fillId="0" borderId="12" xfId="1" applyFont="1" applyBorder="1" applyAlignment="1">
      <alignment horizontal="center" vertical="center"/>
    </xf>
    <xf numFmtId="0" fontId="32" fillId="0" borderId="11" xfId="1" applyFont="1" applyBorder="1" applyAlignment="1">
      <alignment horizontal="center" vertical="center"/>
    </xf>
    <xf numFmtId="0" fontId="32" fillId="0" borderId="11" xfId="1" applyFont="1" applyBorder="1">
      <alignment vertical="center"/>
    </xf>
    <xf numFmtId="0" fontId="32" fillId="0" borderId="23" xfId="1" applyFont="1" applyBorder="1">
      <alignment vertical="center"/>
    </xf>
    <xf numFmtId="0" fontId="32" fillId="0" borderId="0" xfId="1" applyFont="1" applyAlignment="1">
      <alignment horizontal="center" vertical="center"/>
    </xf>
    <xf numFmtId="0" fontId="33" fillId="0" borderId="0" xfId="1" applyFont="1">
      <alignment vertical="center"/>
    </xf>
    <xf numFmtId="0" fontId="32" fillId="0" borderId="0" xfId="1" applyFont="1" applyAlignment="1">
      <alignment horizontal="left" vertical="center"/>
    </xf>
    <xf numFmtId="0" fontId="32" fillId="3" borderId="87" xfId="1" applyFont="1" applyFill="1" applyBorder="1" applyAlignment="1">
      <alignment horizontal="center" vertical="center" wrapText="1"/>
    </xf>
    <xf numFmtId="0" fontId="32" fillId="0" borderId="88" xfId="1" applyFont="1" applyBorder="1" applyAlignment="1">
      <alignment horizontal="left" vertical="center"/>
    </xf>
    <xf numFmtId="0" fontId="32" fillId="4" borderId="89" xfId="1" applyFont="1" applyFill="1" applyBorder="1" applyAlignment="1">
      <alignment horizontal="left" vertical="center"/>
    </xf>
    <xf numFmtId="0" fontId="32" fillId="3" borderId="91" xfId="1" applyFont="1" applyFill="1" applyBorder="1" applyAlignment="1">
      <alignment horizontal="center" vertical="center" wrapText="1"/>
    </xf>
    <xf numFmtId="0" fontId="32" fillId="0" borderId="92" xfId="1" applyFont="1" applyBorder="1" applyAlignment="1">
      <alignment horizontal="left" vertical="center"/>
    </xf>
    <xf numFmtId="0" fontId="32" fillId="4" borderId="93" xfId="1" applyFont="1" applyFill="1" applyBorder="1" applyAlignment="1">
      <alignment horizontal="left" vertical="center"/>
    </xf>
    <xf numFmtId="0" fontId="32" fillId="3" borderId="95" xfId="1" applyFont="1" applyFill="1" applyBorder="1" applyAlignment="1">
      <alignment horizontal="center" vertical="center" wrapText="1"/>
    </xf>
    <xf numFmtId="0" fontId="32" fillId="0" borderId="96" xfId="1" applyFont="1" applyBorder="1" applyAlignment="1">
      <alignment horizontal="left" vertical="center"/>
    </xf>
    <xf numFmtId="0" fontId="32" fillId="4" borderId="97" xfId="1" applyFont="1" applyFill="1" applyBorder="1" applyAlignment="1">
      <alignment horizontal="left" vertical="center"/>
    </xf>
    <xf numFmtId="0" fontId="35" fillId="3" borderId="83" xfId="1" applyFont="1" applyFill="1" applyBorder="1" applyAlignment="1">
      <alignment horizontal="center" vertical="center"/>
    </xf>
    <xf numFmtId="0" fontId="35" fillId="3" borderId="82" xfId="1" applyFont="1" applyFill="1" applyBorder="1" applyAlignment="1">
      <alignment horizontal="center" vertical="center"/>
    </xf>
    <xf numFmtId="0" fontId="35" fillId="3" borderId="16" xfId="1" applyFont="1" applyFill="1" applyBorder="1" applyAlignment="1">
      <alignment horizontal="center" vertical="center"/>
    </xf>
    <xf numFmtId="0" fontId="32" fillId="3" borderId="44" xfId="1" applyFont="1" applyFill="1" applyBorder="1" applyAlignment="1">
      <alignment vertical="center" wrapText="1"/>
    </xf>
    <xf numFmtId="0" fontId="32" fillId="3" borderId="31" xfId="1" applyFont="1" applyFill="1" applyBorder="1" applyAlignment="1">
      <alignment horizontal="center" vertical="center" wrapText="1"/>
    </xf>
    <xf numFmtId="0" fontId="32" fillId="3" borderId="31" xfId="1" applyFont="1" applyFill="1" applyBorder="1" applyAlignment="1">
      <alignment vertical="center" wrapText="1"/>
    </xf>
    <xf numFmtId="0" fontId="32" fillId="3" borderId="99" xfId="1" applyFont="1" applyFill="1" applyBorder="1" applyAlignment="1">
      <alignment horizontal="left" vertical="center"/>
    </xf>
    <xf numFmtId="0" fontId="32" fillId="0" borderId="100" xfId="1" applyFont="1" applyBorder="1" applyAlignment="1">
      <alignment horizontal="left" vertical="center"/>
    </xf>
    <xf numFmtId="0" fontId="32" fillId="0" borderId="101" xfId="1" applyFont="1" applyBorder="1" applyAlignment="1">
      <alignment horizontal="left" vertical="center"/>
    </xf>
    <xf numFmtId="0" fontId="32" fillId="3" borderId="33" xfId="1" applyFont="1" applyFill="1" applyBorder="1" applyAlignment="1">
      <alignment vertical="center" wrapText="1"/>
    </xf>
    <xf numFmtId="0" fontId="32" fillId="3" borderId="48" xfId="1" applyFont="1" applyFill="1" applyBorder="1" applyAlignment="1">
      <alignment horizontal="center" vertical="center" wrapText="1"/>
    </xf>
    <xf numFmtId="0" fontId="32" fillId="3" borderId="48" xfId="1" applyFont="1" applyFill="1" applyBorder="1" applyAlignment="1">
      <alignment vertical="center" wrapText="1"/>
    </xf>
    <xf numFmtId="0" fontId="32" fillId="3" borderId="91" xfId="1" applyFont="1" applyFill="1" applyBorder="1" applyAlignment="1">
      <alignment horizontal="left" vertical="center"/>
    </xf>
    <xf numFmtId="0" fontId="32" fillId="0" borderId="102" xfId="1" applyFont="1" applyBorder="1" applyAlignment="1">
      <alignment horizontal="left" vertical="center"/>
    </xf>
    <xf numFmtId="0" fontId="32" fillId="0" borderId="93" xfId="1" applyFont="1" applyBorder="1" applyAlignment="1">
      <alignment horizontal="left" vertical="center"/>
    </xf>
    <xf numFmtId="0" fontId="32" fillId="3" borderId="95" xfId="1" applyFont="1" applyFill="1" applyBorder="1" applyAlignment="1">
      <alignment horizontal="left" vertical="center" wrapText="1"/>
    </xf>
    <xf numFmtId="0" fontId="32" fillId="0" borderId="103" xfId="1" applyFont="1" applyBorder="1" applyAlignment="1">
      <alignment horizontal="left" vertical="center" wrapText="1"/>
    </xf>
    <xf numFmtId="0" fontId="32" fillId="0" borderId="97" xfId="1" applyFont="1" applyBorder="1" applyAlignment="1">
      <alignment horizontal="left" vertical="center"/>
    </xf>
    <xf numFmtId="0" fontId="32" fillId="3" borderId="104" xfId="1" applyFont="1" applyFill="1" applyBorder="1" applyAlignment="1">
      <alignment vertical="center" wrapText="1"/>
    </xf>
    <xf numFmtId="0" fontId="32" fillId="3" borderId="71" xfId="1" applyFont="1" applyFill="1" applyBorder="1" applyAlignment="1">
      <alignment horizontal="center" vertical="center" wrapText="1"/>
    </xf>
    <xf numFmtId="0" fontId="32" fillId="3" borderId="71" xfId="1" applyFont="1" applyFill="1" applyBorder="1" applyAlignment="1">
      <alignment vertical="center" wrapText="1"/>
    </xf>
    <xf numFmtId="0" fontId="32" fillId="3" borderId="108" xfId="1" applyFont="1" applyFill="1" applyBorder="1" applyAlignment="1">
      <alignment horizontal="center" vertical="center" wrapText="1"/>
    </xf>
    <xf numFmtId="0" fontId="32" fillId="3" borderId="109" xfId="1" applyFont="1" applyFill="1" applyBorder="1" applyAlignment="1">
      <alignment horizontal="center" vertical="center" wrapText="1"/>
    </xf>
    <xf numFmtId="0" fontId="32" fillId="0" borderId="107" xfId="1" applyFont="1" applyBorder="1" applyAlignment="1">
      <alignment horizontal="left" vertical="center"/>
    </xf>
    <xf numFmtId="0" fontId="32" fillId="4" borderId="109" xfId="1" applyFont="1" applyFill="1" applyBorder="1" applyAlignment="1">
      <alignment horizontal="left" vertical="center"/>
    </xf>
    <xf numFmtId="0" fontId="32" fillId="3" borderId="93" xfId="1" applyFont="1" applyFill="1" applyBorder="1" applyAlignment="1">
      <alignment horizontal="center" vertical="center" wrapText="1"/>
    </xf>
    <xf numFmtId="0" fontId="32" fillId="3" borderId="112" xfId="1" applyFont="1" applyFill="1" applyBorder="1" applyAlignment="1">
      <alignment horizontal="center" vertical="center" wrapText="1"/>
    </xf>
    <xf numFmtId="0" fontId="32" fillId="0" borderId="103" xfId="1" applyFont="1" applyBorder="1" applyAlignment="1">
      <alignment horizontal="left" vertical="center"/>
    </xf>
    <xf numFmtId="0" fontId="32" fillId="3" borderId="107" xfId="1" applyFont="1" applyFill="1" applyBorder="1" applyAlignment="1">
      <alignment horizontal="center" vertical="center" wrapText="1"/>
    </xf>
    <xf numFmtId="0" fontId="32" fillId="0" borderId="107" xfId="1" applyFont="1" applyFill="1" applyBorder="1" applyAlignment="1">
      <alignment horizontal="left" vertical="center"/>
    </xf>
    <xf numFmtId="0" fontId="37" fillId="4" borderId="109" xfId="1" applyFont="1" applyFill="1" applyBorder="1" applyAlignment="1">
      <alignment horizontal="left" vertical="center" wrapText="1"/>
    </xf>
    <xf numFmtId="0" fontId="32" fillId="3" borderId="102" xfId="1" applyFont="1" applyFill="1" applyBorder="1" applyAlignment="1">
      <alignment horizontal="center" vertical="center" wrapText="1"/>
    </xf>
    <xf numFmtId="0" fontId="32" fillId="0" borderId="102" xfId="1" applyFont="1" applyFill="1" applyBorder="1" applyAlignment="1">
      <alignment horizontal="left" vertical="center"/>
    </xf>
    <xf numFmtId="0" fontId="37" fillId="4" borderId="93" xfId="1" applyFont="1" applyFill="1" applyBorder="1" applyAlignment="1">
      <alignment vertical="center"/>
    </xf>
    <xf numFmtId="0" fontId="36" fillId="0" borderId="102" xfId="1" applyFont="1" applyFill="1" applyBorder="1" applyAlignment="1">
      <alignment horizontal="center" vertical="center"/>
    </xf>
    <xf numFmtId="0" fontId="37" fillId="4" borderId="93" xfId="1" applyFont="1" applyFill="1" applyBorder="1" applyAlignment="1">
      <alignment horizontal="left" vertical="center"/>
    </xf>
    <xf numFmtId="0" fontId="32" fillId="3" borderId="103" xfId="1" applyFont="1" applyFill="1" applyBorder="1" applyAlignment="1">
      <alignment horizontal="center" vertical="center" wrapText="1"/>
    </xf>
    <xf numFmtId="0" fontId="36" fillId="0" borderId="103" xfId="1" applyFont="1" applyFill="1" applyBorder="1" applyAlignment="1">
      <alignment horizontal="center" vertical="center"/>
    </xf>
    <xf numFmtId="0" fontId="34" fillId="3" borderId="47" xfId="1" applyFont="1" applyFill="1" applyBorder="1" applyAlignment="1">
      <alignment vertical="center" wrapText="1"/>
    </xf>
    <xf numFmtId="0" fontId="32" fillId="0" borderId="100" xfId="1" applyFont="1" applyFill="1" applyBorder="1" applyAlignment="1">
      <alignment horizontal="left" vertical="center"/>
    </xf>
    <xf numFmtId="0" fontId="32" fillId="0" borderId="115" xfId="1" applyFont="1" applyFill="1" applyBorder="1" applyAlignment="1">
      <alignment horizontal="left" vertical="center"/>
    </xf>
    <xf numFmtId="0" fontId="34" fillId="3" borderId="59" xfId="1" applyFont="1" applyFill="1" applyBorder="1" applyAlignment="1">
      <alignment vertical="center" wrapText="1"/>
    </xf>
    <xf numFmtId="0" fontId="32" fillId="0" borderId="93" xfId="1" applyFont="1" applyFill="1" applyBorder="1" applyAlignment="1">
      <alignment horizontal="left" vertical="center"/>
    </xf>
    <xf numFmtId="0" fontId="32" fillId="3" borderId="112" xfId="1" applyFont="1" applyFill="1" applyBorder="1" applyAlignment="1">
      <alignment horizontal="left" vertical="center"/>
    </xf>
    <xf numFmtId="0" fontId="32" fillId="0" borderId="111" xfId="1" applyFont="1" applyFill="1" applyBorder="1" applyAlignment="1">
      <alignment horizontal="left" vertical="center"/>
    </xf>
    <xf numFmtId="0" fontId="32" fillId="0" borderId="113" xfId="1" applyFont="1" applyFill="1" applyBorder="1" applyAlignment="1">
      <alignment horizontal="left" vertical="center"/>
    </xf>
    <xf numFmtId="0" fontId="32" fillId="3" borderId="99" xfId="1" applyFont="1" applyFill="1" applyBorder="1" applyAlignment="1">
      <alignment horizontal="left" vertical="center" wrapText="1"/>
    </xf>
    <xf numFmtId="0" fontId="32" fillId="0" borderId="100" xfId="1" applyFont="1" applyFill="1" applyBorder="1" applyAlignment="1">
      <alignment horizontal="left" vertical="center" wrapText="1"/>
    </xf>
    <xf numFmtId="0" fontId="32" fillId="0" borderId="101" xfId="1" applyFont="1" applyFill="1" applyBorder="1" applyAlignment="1">
      <alignment horizontal="left" vertical="center"/>
    </xf>
    <xf numFmtId="0" fontId="32" fillId="3" borderId="91" xfId="1" applyFont="1" applyFill="1" applyBorder="1" applyAlignment="1">
      <alignment horizontal="left" vertical="center" wrapText="1"/>
    </xf>
    <xf numFmtId="0" fontId="32" fillId="0" borderId="102" xfId="1" applyFont="1" applyFill="1" applyBorder="1" applyAlignment="1">
      <alignment horizontal="left" vertical="center" wrapText="1"/>
    </xf>
    <xf numFmtId="0" fontId="32" fillId="3" borderId="36" xfId="1" applyFont="1" applyFill="1" applyBorder="1" applyAlignment="1">
      <alignment vertical="center" wrapText="1"/>
    </xf>
    <xf numFmtId="0" fontId="32" fillId="3" borderId="116" xfId="1" applyFont="1" applyFill="1" applyBorder="1" applyAlignment="1">
      <alignment vertical="center" wrapText="1"/>
    </xf>
    <xf numFmtId="0" fontId="34" fillId="3" borderId="117" xfId="1" applyFont="1" applyFill="1" applyBorder="1" applyAlignment="1">
      <alignment vertical="center" wrapText="1"/>
    </xf>
    <xf numFmtId="0" fontId="32" fillId="0" borderId="121" xfId="1" applyFont="1" applyBorder="1" applyAlignment="1">
      <alignment horizontal="center" vertical="center"/>
    </xf>
    <xf numFmtId="0" fontId="39" fillId="0" borderId="0" xfId="1" applyFont="1">
      <alignment vertical="center"/>
    </xf>
    <xf numFmtId="0" fontId="40" fillId="0" borderId="0" xfId="1" applyFont="1">
      <alignment vertical="center"/>
    </xf>
    <xf numFmtId="0" fontId="41" fillId="0" borderId="0" xfId="1" applyFont="1">
      <alignment vertical="center"/>
    </xf>
    <xf numFmtId="0" fontId="42" fillId="0" borderId="0" xfId="1" applyFont="1">
      <alignment vertical="center"/>
    </xf>
    <xf numFmtId="49" fontId="13" fillId="0" borderId="0" xfId="0" applyNumberFormat="1" applyFont="1" applyBorder="1" applyAlignment="1">
      <alignment vertical="center" shrinkToFit="1"/>
    </xf>
    <xf numFmtId="49" fontId="9" fillId="0" borderId="122" xfId="0" applyNumberFormat="1" applyFont="1" applyBorder="1" applyAlignment="1">
      <alignment horizontal="left" vertical="center"/>
    </xf>
    <xf numFmtId="49" fontId="13" fillId="0" borderId="124" xfId="0" applyNumberFormat="1" applyFont="1" applyBorder="1" applyAlignment="1">
      <alignment horizontal="center" vertical="center" shrinkToFit="1"/>
    </xf>
    <xf numFmtId="49" fontId="13" fillId="0" borderId="125" xfId="0" applyNumberFormat="1" applyFont="1" applyBorder="1" applyAlignment="1">
      <alignment horizontal="center" vertical="center"/>
    </xf>
    <xf numFmtId="49" fontId="13" fillId="0" borderId="125" xfId="0" applyNumberFormat="1" applyFont="1" applyBorder="1" applyAlignment="1">
      <alignment horizontal="center" vertical="center" shrinkToFit="1"/>
    </xf>
    <xf numFmtId="49" fontId="13" fillId="0" borderId="57" xfId="0" applyNumberFormat="1" applyFont="1" applyBorder="1" applyAlignment="1">
      <alignment horizontal="center" vertical="center"/>
    </xf>
    <xf numFmtId="179" fontId="13" fillId="0" borderId="58" xfId="0" applyNumberFormat="1" applyFont="1" applyBorder="1" applyAlignment="1">
      <alignment horizontal="center" vertical="center"/>
    </xf>
    <xf numFmtId="179" fontId="13" fillId="0" borderId="54" xfId="0" applyNumberFormat="1" applyFont="1" applyBorder="1" applyAlignment="1">
      <alignment horizontal="left" vertical="center"/>
    </xf>
    <xf numFmtId="179" fontId="13" fillId="0" borderId="49" xfId="0" applyNumberFormat="1" applyFont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 wrapText="1"/>
    </xf>
    <xf numFmtId="49" fontId="13" fillId="5" borderId="116" xfId="0" applyNumberFormat="1" applyFont="1" applyFill="1" applyBorder="1" applyAlignment="1">
      <alignment horizontal="center" vertical="center" wrapText="1"/>
    </xf>
    <xf numFmtId="49" fontId="14" fillId="0" borderId="14" xfId="0" applyNumberFormat="1" applyFont="1" applyBorder="1" applyAlignment="1">
      <alignment horizontal="left" vertical="center"/>
    </xf>
    <xf numFmtId="49" fontId="9" fillId="0" borderId="11" xfId="0" applyNumberFormat="1" applyFont="1" applyBorder="1" applyAlignment="1">
      <alignment horizontal="left" vertical="center"/>
    </xf>
    <xf numFmtId="49" fontId="13" fillId="5" borderId="10" xfId="0" applyNumberFormat="1" applyFont="1" applyFill="1" applyBorder="1" applyAlignment="1">
      <alignment horizontal="left" vertical="center"/>
    </xf>
    <xf numFmtId="49" fontId="13" fillId="5" borderId="14" xfId="0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3" fillId="5" borderId="0" xfId="0" applyNumberFormat="1" applyFont="1" applyFill="1" applyBorder="1" applyAlignment="1">
      <alignment horizontal="left" vertical="center"/>
    </xf>
    <xf numFmtId="49" fontId="13" fillId="5" borderId="1" xfId="0" applyNumberFormat="1" applyFont="1" applyFill="1" applyBorder="1" applyAlignment="1">
      <alignment horizontal="center" vertical="center"/>
    </xf>
    <xf numFmtId="49" fontId="13" fillId="5" borderId="14" xfId="0" applyNumberFormat="1" applyFont="1" applyFill="1" applyBorder="1" applyAlignment="1">
      <alignment horizontal="left" vertical="center" shrinkToFit="1"/>
    </xf>
    <xf numFmtId="49" fontId="13" fillId="5" borderId="12" xfId="0" applyNumberFormat="1" applyFont="1" applyFill="1" applyBorder="1" applyAlignment="1">
      <alignment horizontal="left" vertical="center"/>
    </xf>
    <xf numFmtId="49" fontId="13" fillId="5" borderId="11" xfId="0" applyNumberFormat="1" applyFont="1" applyFill="1" applyBorder="1" applyAlignment="1">
      <alignment horizontal="left" vertical="center"/>
    </xf>
    <xf numFmtId="49" fontId="0" fillId="5" borderId="10" xfId="0" applyNumberFormat="1" applyFont="1" applyFill="1" applyBorder="1" applyAlignment="1">
      <alignment horizontal="left" vertical="center"/>
    </xf>
    <xf numFmtId="49" fontId="0" fillId="5" borderId="9" xfId="0" applyNumberFormat="1" applyFont="1" applyFill="1" applyBorder="1" applyAlignment="1">
      <alignment horizontal="left" vertical="center"/>
    </xf>
    <xf numFmtId="49" fontId="0" fillId="5" borderId="6" xfId="0" applyNumberFormat="1" applyFont="1" applyFill="1" applyBorder="1" applyAlignment="1">
      <alignment horizontal="left"/>
    </xf>
    <xf numFmtId="49" fontId="0" fillId="5" borderId="5" xfId="0" applyNumberFormat="1" applyFont="1" applyFill="1" applyBorder="1" applyAlignment="1">
      <alignment horizontal="left"/>
    </xf>
    <xf numFmtId="49" fontId="13" fillId="5" borderId="4" xfId="0" applyNumberFormat="1" applyFont="1" applyFill="1" applyBorder="1" applyAlignment="1">
      <alignment horizontal="center"/>
    </xf>
    <xf numFmtId="49" fontId="13" fillId="5" borderId="3" xfId="0" applyNumberFormat="1" applyFont="1" applyFill="1" applyBorder="1" applyAlignment="1">
      <alignment horizontal="center"/>
    </xf>
    <xf numFmtId="0" fontId="13" fillId="0" borderId="8" xfId="0" applyNumberFormat="1" applyFont="1" applyFill="1" applyBorder="1" applyAlignment="1">
      <alignment horizontal="center" vertical="center"/>
    </xf>
    <xf numFmtId="0" fontId="13" fillId="0" borderId="34" xfId="0" applyNumberFormat="1" applyFont="1" applyFill="1" applyBorder="1" applyAlignment="1">
      <alignment horizontal="center" vertical="center"/>
    </xf>
    <xf numFmtId="0" fontId="13" fillId="0" borderId="114" xfId="0" applyFont="1" applyFill="1" applyBorder="1" applyAlignment="1">
      <alignment horizontal="center" vertical="center"/>
    </xf>
    <xf numFmtId="49" fontId="13" fillId="0" borderId="60" xfId="0" applyNumberFormat="1" applyFont="1" applyFill="1" applyBorder="1" applyAlignment="1">
      <alignment horizontal="center" vertical="center"/>
    </xf>
    <xf numFmtId="0" fontId="13" fillId="0" borderId="130" xfId="0" applyFont="1" applyFill="1" applyBorder="1" applyAlignment="1">
      <alignment horizontal="center" vertical="center"/>
    </xf>
    <xf numFmtId="0" fontId="13" fillId="0" borderId="82" xfId="0" applyFont="1" applyBorder="1" applyAlignment="1">
      <alignment horizontal="center" vertical="center"/>
    </xf>
    <xf numFmtId="0" fontId="13" fillId="0" borderId="81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49" fontId="0" fillId="0" borderId="0" xfId="0" applyNumberFormat="1" applyFont="1" applyAlignment="1">
      <alignment horizontal="left"/>
    </xf>
    <xf numFmtId="0" fontId="35" fillId="3" borderId="33" xfId="1" applyFont="1" applyFill="1" applyBorder="1" applyAlignment="1">
      <alignment horizontal="center" vertical="center"/>
    </xf>
    <xf numFmtId="0" fontId="32" fillId="3" borderId="97" xfId="1" applyFont="1" applyFill="1" applyBorder="1" applyAlignment="1">
      <alignment horizontal="center" vertical="center" wrapText="1"/>
    </xf>
    <xf numFmtId="0" fontId="32" fillId="3" borderId="133" xfId="1" applyFont="1" applyFill="1" applyBorder="1" applyAlignment="1">
      <alignment horizontal="center" vertical="center" wrapText="1"/>
    </xf>
    <xf numFmtId="180" fontId="13" fillId="0" borderId="44" xfId="0" applyNumberFormat="1" applyFont="1" applyBorder="1" applyAlignment="1">
      <alignment horizontal="center" vertical="center"/>
    </xf>
    <xf numFmtId="180" fontId="13" fillId="0" borderId="83" xfId="0" applyNumberFormat="1" applyFont="1" applyBorder="1" applyAlignment="1">
      <alignment horizontal="center" vertical="center"/>
    </xf>
    <xf numFmtId="180" fontId="13" fillId="0" borderId="45" xfId="0" applyNumberFormat="1" applyFont="1" applyBorder="1" applyAlignment="1">
      <alignment horizontal="center" vertical="center"/>
    </xf>
    <xf numFmtId="49" fontId="46" fillId="5" borderId="0" xfId="0" applyNumberFormat="1" applyFont="1" applyFill="1" applyBorder="1" applyAlignment="1">
      <alignment horizontal="left" vertical="center"/>
    </xf>
    <xf numFmtId="0" fontId="5" fillId="0" borderId="73" xfId="2" applyFont="1" applyBorder="1" applyAlignment="1">
      <alignment vertical="center"/>
    </xf>
    <xf numFmtId="0" fontId="5" fillId="0" borderId="0" xfId="2" applyFont="1" applyBorder="1" applyAlignment="1">
      <alignment vertical="center"/>
    </xf>
    <xf numFmtId="49" fontId="13" fillId="0" borderId="0" xfId="0" applyNumberFormat="1" applyFont="1" applyFill="1" applyBorder="1" applyAlignment="1">
      <alignment horizontal="center" vertical="center"/>
    </xf>
    <xf numFmtId="0" fontId="0" fillId="7" borderId="37" xfId="3" applyFont="1" applyFill="1" applyBorder="1" applyAlignment="1">
      <alignment horizontal="center" vertical="center" wrapText="1"/>
    </xf>
    <xf numFmtId="0" fontId="0" fillId="7" borderId="37" xfId="3" applyFont="1" applyFill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8" xfId="0" applyBorder="1"/>
    <xf numFmtId="0" fontId="0" fillId="0" borderId="45" xfId="0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70" xfId="3" applyFont="1" applyFill="1" applyBorder="1" applyAlignment="1">
      <alignment horizontal="center" vertical="center" wrapText="1"/>
    </xf>
    <xf numFmtId="0" fontId="49" fillId="0" borderId="0" xfId="1" applyFont="1" applyAlignment="1"/>
    <xf numFmtId="0" fontId="0" fillId="0" borderId="69" xfId="3" applyFont="1" applyFill="1" applyBorder="1" applyAlignment="1">
      <alignment horizontal="center" vertical="center" wrapText="1"/>
    </xf>
    <xf numFmtId="0" fontId="0" fillId="0" borderId="138" xfId="3" applyFont="1" applyFill="1" applyBorder="1" applyAlignment="1">
      <alignment horizontal="center" vertical="center" wrapText="1"/>
    </xf>
    <xf numFmtId="0" fontId="49" fillId="0" borderId="121" xfId="1" applyFont="1" applyBorder="1" applyAlignment="1">
      <alignment horizontal="center" vertical="center"/>
    </xf>
    <xf numFmtId="0" fontId="49" fillId="0" borderId="110" xfId="1" applyFont="1" applyFill="1" applyBorder="1" applyAlignment="1">
      <alignment horizontal="center" vertical="center"/>
    </xf>
    <xf numFmtId="0" fontId="20" fillId="0" borderId="69" xfId="1" applyFill="1" applyBorder="1" applyAlignment="1">
      <alignment horizontal="center" vertical="center" wrapText="1"/>
    </xf>
    <xf numFmtId="0" fontId="20" fillId="0" borderId="65" xfId="1" applyFill="1" applyBorder="1" applyAlignment="1">
      <alignment horizontal="center" vertical="center" wrapText="1"/>
    </xf>
    <xf numFmtId="0" fontId="49" fillId="0" borderId="135" xfId="1" applyFont="1" applyBorder="1" applyAlignment="1">
      <alignment horizontal="center" vertical="center"/>
    </xf>
    <xf numFmtId="0" fontId="49" fillId="0" borderId="136" xfId="1" applyFont="1" applyBorder="1" applyAlignment="1">
      <alignment horizontal="center" vertical="center"/>
    </xf>
    <xf numFmtId="0" fontId="49" fillId="0" borderId="137" xfId="1" applyFont="1" applyBorder="1" applyAlignment="1">
      <alignment horizontal="center" vertical="center"/>
    </xf>
    <xf numFmtId="0" fontId="49" fillId="0" borderId="90" xfId="1" applyFont="1" applyBorder="1" applyAlignment="1">
      <alignment horizontal="center" vertical="center"/>
    </xf>
    <xf numFmtId="0" fontId="20" fillId="0" borderId="0" xfId="1" applyFill="1" applyAlignment="1"/>
    <xf numFmtId="0" fontId="48" fillId="0" borderId="8" xfId="1" applyFont="1" applyFill="1" applyBorder="1" applyAlignment="1">
      <alignment horizontal="center" vertical="center"/>
    </xf>
    <xf numFmtId="0" fontId="48" fillId="0" borderId="8" xfId="1" applyFont="1" applyFill="1" applyBorder="1" applyAlignment="1">
      <alignment horizontal="center" vertical="center" wrapText="1"/>
    </xf>
    <xf numFmtId="0" fontId="48" fillId="0" borderId="34" xfId="1" applyFont="1" applyFill="1" applyBorder="1" applyAlignment="1">
      <alignment horizontal="center" vertical="center" wrapText="1"/>
    </xf>
    <xf numFmtId="0" fontId="3" fillId="0" borderId="9" xfId="1" applyFont="1" applyFill="1" applyBorder="1" applyAlignment="1">
      <alignment horizontal="center" vertical="center"/>
    </xf>
    <xf numFmtId="0" fontId="3" fillId="0" borderId="134" xfId="1" applyFont="1" applyFill="1" applyBorder="1" applyAlignment="1">
      <alignment horizontal="center" vertical="center"/>
    </xf>
    <xf numFmtId="49" fontId="13" fillId="9" borderId="34" xfId="0" applyNumberFormat="1" applyFont="1" applyFill="1" applyBorder="1" applyAlignment="1">
      <alignment horizontal="center" vertical="center"/>
    </xf>
    <xf numFmtId="0" fontId="13" fillId="9" borderId="134" xfId="0" applyNumberFormat="1" applyFont="1" applyFill="1" applyBorder="1" applyAlignment="1">
      <alignment horizontal="center" vertical="center"/>
    </xf>
    <xf numFmtId="178" fontId="13" fillId="9" borderId="134" xfId="0" applyNumberFormat="1" applyFont="1" applyFill="1" applyBorder="1" applyAlignment="1">
      <alignment horizontal="center" vertical="center"/>
    </xf>
    <xf numFmtId="0" fontId="13" fillId="9" borderId="38" xfId="0" applyNumberFormat="1" applyFont="1" applyFill="1" applyBorder="1" applyAlignment="1">
      <alignment horizontal="center" vertical="center"/>
    </xf>
    <xf numFmtId="0" fontId="20" fillId="9" borderId="47" xfId="1" applyFill="1" applyBorder="1" applyAlignment="1">
      <alignment horizontal="center" vertical="center"/>
    </xf>
    <xf numFmtId="0" fontId="20" fillId="9" borderId="31" xfId="1" applyFill="1" applyBorder="1" applyAlignment="1">
      <alignment horizontal="center" vertical="center"/>
    </xf>
    <xf numFmtId="0" fontId="20" fillId="9" borderId="139" xfId="1" applyFill="1" applyBorder="1" applyAlignment="1">
      <alignment horizontal="center" vertical="center"/>
    </xf>
    <xf numFmtId="0" fontId="20" fillId="9" borderId="16" xfId="1" applyFill="1" applyBorder="1" applyAlignment="1">
      <alignment horizontal="center" vertical="center"/>
    </xf>
    <xf numFmtId="0" fontId="20" fillId="9" borderId="82" xfId="1" applyFill="1" applyBorder="1" applyAlignment="1">
      <alignment horizontal="center" vertical="center"/>
    </xf>
    <xf numFmtId="0" fontId="20" fillId="9" borderId="140" xfId="1" applyFill="1" applyBorder="1" applyAlignment="1">
      <alignment horizontal="center" vertical="center"/>
    </xf>
    <xf numFmtId="0" fontId="20" fillId="9" borderId="75" xfId="1" applyFill="1" applyBorder="1" applyAlignment="1">
      <alignment horizontal="center" vertical="center"/>
    </xf>
    <xf numFmtId="0" fontId="20" fillId="9" borderId="62" xfId="1" applyFill="1" applyBorder="1" applyAlignment="1">
      <alignment horizontal="center" vertical="center"/>
    </xf>
    <xf numFmtId="0" fontId="20" fillId="9" borderId="141" xfId="1" applyFill="1" applyBorder="1" applyAlignment="1">
      <alignment horizontal="center" vertical="center"/>
    </xf>
    <xf numFmtId="0" fontId="20" fillId="10" borderId="78" xfId="1" applyFill="1" applyBorder="1" applyAlignment="1">
      <alignment horizontal="center" vertical="center"/>
    </xf>
    <xf numFmtId="0" fontId="20" fillId="10" borderId="134" xfId="1" applyFill="1" applyBorder="1" applyAlignment="1">
      <alignment horizontal="center" vertical="center"/>
    </xf>
    <xf numFmtId="0" fontId="20" fillId="10" borderId="142" xfId="1" applyFill="1" applyBorder="1" applyAlignment="1">
      <alignment horizontal="center" vertical="center"/>
    </xf>
    <xf numFmtId="0" fontId="20" fillId="8" borderId="10" xfId="1" applyFill="1" applyBorder="1" applyAlignment="1">
      <alignment horizontal="center" vertical="center"/>
    </xf>
    <xf numFmtId="0" fontId="13" fillId="0" borderId="31" xfId="0" applyNumberFormat="1" applyFont="1" applyFill="1" applyBorder="1" applyAlignment="1">
      <alignment horizontal="center" vertical="center"/>
    </xf>
    <xf numFmtId="178" fontId="13" fillId="0" borderId="31" xfId="0" applyNumberFormat="1" applyFont="1" applyFill="1" applyBorder="1" applyAlignment="1">
      <alignment horizontal="center" vertical="center"/>
    </xf>
    <xf numFmtId="0" fontId="13" fillId="0" borderId="44" xfId="0" applyNumberFormat="1" applyFont="1" applyFill="1" applyBorder="1" applyAlignment="1">
      <alignment horizontal="left" vertical="center"/>
    </xf>
    <xf numFmtId="0" fontId="20" fillId="0" borderId="34" xfId="1" applyFill="1" applyBorder="1" applyAlignment="1">
      <alignment horizontal="center" vertical="center"/>
    </xf>
    <xf numFmtId="0" fontId="20" fillId="0" borderId="8" xfId="1" applyFill="1" applyBorder="1" applyAlignment="1">
      <alignment horizontal="center" vertical="center"/>
    </xf>
    <xf numFmtId="0" fontId="20" fillId="0" borderId="8" xfId="1" applyBorder="1" applyAlignment="1">
      <alignment horizontal="center" vertical="center" wrapText="1"/>
    </xf>
    <xf numFmtId="49" fontId="13" fillId="0" borderId="10" xfId="0" applyNumberFormat="1" applyFont="1" applyBorder="1" applyAlignment="1">
      <alignment horizontal="left" vertical="center" shrinkToFit="1"/>
    </xf>
    <xf numFmtId="0" fontId="48" fillId="0" borderId="14" xfId="1" applyFont="1" applyFill="1" applyBorder="1" applyAlignment="1">
      <alignment horizontal="center" vertical="center" wrapText="1"/>
    </xf>
    <xf numFmtId="0" fontId="13" fillId="0" borderId="144" xfId="0" applyNumberFormat="1" applyFont="1" applyFill="1" applyBorder="1" applyAlignment="1">
      <alignment horizontal="center" vertical="center"/>
    </xf>
    <xf numFmtId="0" fontId="20" fillId="9" borderId="145" xfId="1" applyFill="1" applyBorder="1" applyAlignment="1">
      <alignment horizontal="center" vertical="center"/>
    </xf>
    <xf numFmtId="0" fontId="20" fillId="9" borderId="146" xfId="1" applyFill="1" applyBorder="1" applyAlignment="1">
      <alignment horizontal="center" vertical="center"/>
    </xf>
    <xf numFmtId="0" fontId="20" fillId="9" borderId="148" xfId="1" applyFill="1" applyBorder="1" applyAlignment="1">
      <alignment horizontal="center" vertical="center"/>
    </xf>
    <xf numFmtId="0" fontId="20" fillId="9" borderId="149" xfId="1" applyFill="1" applyBorder="1" applyAlignment="1">
      <alignment horizontal="center" vertical="center"/>
    </xf>
    <xf numFmtId="0" fontId="20" fillId="0" borderId="150" xfId="1" applyFill="1" applyBorder="1" applyAlignment="1">
      <alignment horizontal="center" vertical="center"/>
    </xf>
    <xf numFmtId="0" fontId="20" fillId="0" borderId="151" xfId="1" applyFill="1" applyBorder="1" applyAlignment="1">
      <alignment horizontal="center" vertical="center"/>
    </xf>
    <xf numFmtId="0" fontId="20" fillId="9" borderId="38" xfId="1" applyFill="1" applyBorder="1" applyAlignment="1">
      <alignment horizontal="center" vertical="center"/>
    </xf>
    <xf numFmtId="0" fontId="4" fillId="9" borderId="37" xfId="3" applyFont="1" applyFill="1" applyBorder="1" applyAlignment="1">
      <alignment horizontal="center" vertical="center" wrapText="1"/>
    </xf>
    <xf numFmtId="0" fontId="20" fillId="9" borderId="1" xfId="1" applyFill="1" applyBorder="1" applyAlignment="1">
      <alignment horizontal="center" vertical="center"/>
    </xf>
    <xf numFmtId="0" fontId="20" fillId="9" borderId="2" xfId="1" applyFill="1" applyBorder="1" applyAlignment="1">
      <alignment horizontal="center" vertical="center"/>
    </xf>
    <xf numFmtId="0" fontId="20" fillId="9" borderId="37" xfId="1" applyFill="1" applyBorder="1" applyAlignment="1">
      <alignment horizontal="center" vertical="center"/>
    </xf>
    <xf numFmtId="0" fontId="20" fillId="9" borderId="37" xfId="1" applyFill="1" applyBorder="1" applyAlignment="1">
      <alignment horizontal="center" vertical="center" wrapText="1"/>
    </xf>
    <xf numFmtId="0" fontId="7" fillId="9" borderId="37" xfId="1" applyFont="1" applyFill="1" applyBorder="1" applyAlignment="1">
      <alignment horizontal="center" vertical="center" wrapText="1"/>
    </xf>
    <xf numFmtId="0" fontId="25" fillId="9" borderId="37" xfId="1" applyFont="1" applyFill="1" applyBorder="1" applyAlignment="1">
      <alignment horizontal="center" vertical="center" wrapText="1"/>
    </xf>
    <xf numFmtId="0" fontId="26" fillId="9" borderId="37" xfId="1" applyFont="1" applyFill="1" applyBorder="1" applyAlignment="1">
      <alignment horizontal="center" vertical="center" wrapText="1"/>
    </xf>
    <xf numFmtId="0" fontId="13" fillId="0" borderId="42" xfId="0" applyFont="1" applyFill="1" applyBorder="1" applyAlignment="1">
      <alignment horizontal="center" vertical="center"/>
    </xf>
    <xf numFmtId="0" fontId="48" fillId="11" borderId="8" xfId="1" applyFont="1" applyFill="1" applyBorder="1" applyAlignment="1">
      <alignment horizontal="center" vertical="center" wrapText="1"/>
    </xf>
    <xf numFmtId="0" fontId="48" fillId="11" borderId="8" xfId="1" applyFont="1" applyFill="1" applyBorder="1" applyAlignment="1">
      <alignment horizontal="center" vertical="center"/>
    </xf>
    <xf numFmtId="49" fontId="13" fillId="11" borderId="45" xfId="0" applyNumberFormat="1" applyFont="1" applyFill="1" applyBorder="1" applyAlignment="1">
      <alignment horizontal="center" vertical="center" shrinkToFit="1"/>
    </xf>
    <xf numFmtId="0" fontId="3" fillId="0" borderId="35" xfId="1" applyFont="1" applyFill="1" applyBorder="1" applyAlignment="1">
      <alignment horizontal="center" vertical="center"/>
    </xf>
    <xf numFmtId="178" fontId="20" fillId="0" borderId="152" xfId="1" applyNumberFormat="1" applyBorder="1" applyAlignment="1">
      <alignment horizontal="center" vertical="center"/>
    </xf>
    <xf numFmtId="0" fontId="20" fillId="0" borderId="152" xfId="1" applyBorder="1" applyAlignment="1">
      <alignment horizontal="center" vertical="center"/>
    </xf>
    <xf numFmtId="176" fontId="20" fillId="0" borderId="152" xfId="1" applyNumberFormat="1" applyBorder="1" applyAlignment="1">
      <alignment horizontal="center" vertical="center"/>
    </xf>
    <xf numFmtId="14" fontId="20" fillId="0" borderId="153" xfId="1" applyNumberFormat="1" applyBorder="1" applyAlignment="1">
      <alignment horizontal="center" vertical="center"/>
    </xf>
    <xf numFmtId="14" fontId="20" fillId="0" borderId="154" xfId="1" applyNumberFormat="1" applyBorder="1" applyAlignment="1">
      <alignment horizontal="center" vertical="center"/>
    </xf>
    <xf numFmtId="177" fontId="20" fillId="0" borderId="152" xfId="1" applyNumberFormat="1" applyBorder="1" applyAlignment="1">
      <alignment horizontal="center" vertical="center"/>
    </xf>
    <xf numFmtId="0" fontId="20" fillId="0" borderId="155" xfId="1" applyBorder="1" applyAlignment="1">
      <alignment vertical="center"/>
    </xf>
    <xf numFmtId="0" fontId="20" fillId="0" borderId="155" xfId="1" applyBorder="1" applyAlignment="1"/>
    <xf numFmtId="0" fontId="50" fillId="0" borderId="0" xfId="1" applyFont="1" applyBorder="1" applyAlignment="1"/>
    <xf numFmtId="0" fontId="20" fillId="0" borderId="0" xfId="1" applyBorder="1" applyAlignment="1"/>
    <xf numFmtId="14" fontId="20" fillId="0" borderId="34" xfId="1" applyNumberFormat="1" applyBorder="1" applyAlignment="1">
      <alignment horizontal="center" vertical="center"/>
    </xf>
    <xf numFmtId="14" fontId="20" fillId="0" borderId="19" xfId="1" applyNumberFormat="1" applyBorder="1" applyAlignment="1">
      <alignment horizontal="center" vertical="center"/>
    </xf>
    <xf numFmtId="178" fontId="20" fillId="0" borderId="8" xfId="1" applyNumberFormat="1" applyBorder="1" applyAlignment="1">
      <alignment horizontal="center" vertical="center"/>
    </xf>
    <xf numFmtId="176" fontId="20" fillId="0" borderId="8" xfId="1" applyNumberFormat="1" applyBorder="1" applyAlignment="1">
      <alignment horizontal="center" vertical="center"/>
    </xf>
    <xf numFmtId="177" fontId="20" fillId="0" borderId="8" xfId="1" applyNumberFormat="1" applyBorder="1" applyAlignment="1">
      <alignment horizontal="center" vertical="center"/>
    </xf>
    <xf numFmtId="0" fontId="20" fillId="0" borderId="45" xfId="1" applyBorder="1" applyAlignment="1"/>
    <xf numFmtId="181" fontId="20" fillId="0" borderId="152" xfId="1" applyNumberFormat="1" applyBorder="1" applyAlignment="1">
      <alignment horizontal="center" vertical="center"/>
    </xf>
    <xf numFmtId="181" fontId="20" fillId="0" borderId="8" xfId="1" applyNumberFormat="1" applyBorder="1" applyAlignment="1">
      <alignment horizontal="center" vertical="center"/>
    </xf>
    <xf numFmtId="49" fontId="13" fillId="0" borderId="153" xfId="0" applyNumberFormat="1" applyFont="1" applyFill="1" applyBorder="1" applyAlignment="1">
      <alignment horizontal="center" vertical="center"/>
    </xf>
    <xf numFmtId="0" fontId="13" fillId="0" borderId="152" xfId="0" applyNumberFormat="1" applyFont="1" applyFill="1" applyBorder="1" applyAlignment="1">
      <alignment horizontal="center" vertical="center"/>
    </xf>
    <xf numFmtId="178" fontId="13" fillId="0" borderId="152" xfId="0" applyNumberFormat="1" applyFont="1" applyFill="1" applyBorder="1" applyAlignment="1">
      <alignment horizontal="center" vertical="center"/>
    </xf>
    <xf numFmtId="0" fontId="13" fillId="0" borderId="155" xfId="0" applyNumberFormat="1" applyFont="1" applyFill="1" applyBorder="1" applyAlignment="1">
      <alignment horizontal="left" vertical="center"/>
    </xf>
    <xf numFmtId="0" fontId="13" fillId="0" borderId="153" xfId="0" applyNumberFormat="1" applyFont="1" applyFill="1" applyBorder="1" applyAlignment="1">
      <alignment horizontal="center" vertical="center"/>
    </xf>
    <xf numFmtId="0" fontId="13" fillId="0" borderId="155" xfId="0" applyFont="1" applyFill="1" applyBorder="1" applyAlignment="1">
      <alignment horizontal="left" vertical="center"/>
    </xf>
    <xf numFmtId="49" fontId="13" fillId="0" borderId="155" xfId="0" applyNumberFormat="1" applyFont="1" applyFill="1" applyBorder="1" applyAlignment="1">
      <alignment horizontal="left" vertical="center"/>
    </xf>
    <xf numFmtId="0" fontId="13" fillId="0" borderId="153" xfId="0" applyFont="1" applyFill="1" applyBorder="1" applyAlignment="1">
      <alignment horizontal="center" vertical="center"/>
    </xf>
    <xf numFmtId="0" fontId="13" fillId="0" borderId="155" xfId="0" applyNumberFormat="1" applyFont="1" applyBorder="1" applyAlignment="1">
      <alignment horizontal="left" vertical="center"/>
    </xf>
    <xf numFmtId="0" fontId="0" fillId="0" borderId="155" xfId="0" applyBorder="1" applyAlignment="1">
      <alignment horizontal="left"/>
    </xf>
    <xf numFmtId="0" fontId="0" fillId="0" borderId="152" xfId="0" applyBorder="1"/>
    <xf numFmtId="0" fontId="0" fillId="0" borderId="152" xfId="0" applyBorder="1" applyAlignment="1">
      <alignment horizontal="center"/>
    </xf>
    <xf numFmtId="0" fontId="20" fillId="0" borderId="153" xfId="1" applyBorder="1" applyAlignment="1">
      <alignment horizontal="center"/>
    </xf>
    <xf numFmtId="0" fontId="20" fillId="0" borderId="152" xfId="1" applyBorder="1" applyAlignment="1">
      <alignment horizontal="center"/>
    </xf>
    <xf numFmtId="0" fontId="20" fillId="0" borderId="155" xfId="1" applyBorder="1" applyAlignment="1">
      <alignment horizontal="center"/>
    </xf>
    <xf numFmtId="0" fontId="20" fillId="0" borderId="8" xfId="1" applyBorder="1" applyAlignment="1">
      <alignment horizontal="center"/>
    </xf>
    <xf numFmtId="0" fontId="20" fillId="0" borderId="34" xfId="1" applyBorder="1" applyAlignment="1">
      <alignment horizontal="center"/>
    </xf>
    <xf numFmtId="0" fontId="20" fillId="0" borderId="45" xfId="1" applyBorder="1" applyAlignment="1">
      <alignment horizontal="center"/>
    </xf>
    <xf numFmtId="0" fontId="20" fillId="0" borderId="35" xfId="1" applyBorder="1" applyAlignment="1">
      <alignment horizontal="center"/>
    </xf>
    <xf numFmtId="0" fontId="20" fillId="0" borderId="78" xfId="1" applyBorder="1" applyAlignment="1">
      <alignment horizontal="center"/>
    </xf>
    <xf numFmtId="0" fontId="20" fillId="0" borderId="154" xfId="1" applyBorder="1" applyAlignment="1">
      <alignment horizontal="center"/>
    </xf>
    <xf numFmtId="0" fontId="20" fillId="0" borderId="19" xfId="1" applyBorder="1" applyAlignment="1">
      <alignment horizontal="center"/>
    </xf>
    <xf numFmtId="0" fontId="0" fillId="6" borderId="1" xfId="3" applyFont="1" applyFill="1" applyBorder="1" applyAlignment="1">
      <alignment horizontal="center" vertical="center" wrapText="1"/>
    </xf>
    <xf numFmtId="0" fontId="4" fillId="0" borderId="38" xfId="3" applyFont="1" applyFill="1" applyBorder="1" applyAlignment="1">
      <alignment horizontal="center" vertical="center" wrapText="1"/>
    </xf>
    <xf numFmtId="0" fontId="20" fillId="0" borderId="153" xfId="1" applyBorder="1" applyAlignment="1">
      <alignment horizontal="center" vertical="center"/>
    </xf>
    <xf numFmtId="0" fontId="20" fillId="0" borderId="155" xfId="1" applyBorder="1" applyAlignment="1">
      <alignment horizontal="center" vertical="center"/>
    </xf>
    <xf numFmtId="0" fontId="48" fillId="0" borderId="1" xfId="1" applyFont="1" applyFill="1" applyBorder="1" applyAlignment="1">
      <alignment horizontal="center" vertical="center"/>
    </xf>
    <xf numFmtId="0" fontId="48" fillId="0" borderId="37" xfId="1" applyFont="1" applyFill="1" applyBorder="1" applyAlignment="1">
      <alignment horizontal="center" vertical="center"/>
    </xf>
    <xf numFmtId="0" fontId="48" fillId="0" borderId="37" xfId="1" applyFont="1" applyFill="1" applyBorder="1" applyAlignment="1">
      <alignment horizontal="center" vertical="center" wrapText="1"/>
    </xf>
    <xf numFmtId="0" fontId="48" fillId="0" borderId="38" xfId="1" applyFont="1" applyFill="1" applyBorder="1" applyAlignment="1">
      <alignment horizontal="center" vertical="center"/>
    </xf>
    <xf numFmtId="0" fontId="20" fillId="0" borderId="147" xfId="1" applyFill="1" applyBorder="1" applyAlignment="1">
      <alignment horizontal="center" vertical="center"/>
    </xf>
    <xf numFmtId="0" fontId="20" fillId="0" borderId="83" xfId="1" applyFill="1" applyBorder="1" applyAlignment="1">
      <alignment horizontal="center" vertical="center"/>
    </xf>
    <xf numFmtId="0" fontId="20" fillId="0" borderId="132" xfId="1" applyFill="1" applyBorder="1" applyAlignment="1">
      <alignment horizontal="center" vertical="center"/>
    </xf>
    <xf numFmtId="0" fontId="13" fillId="0" borderId="51" xfId="0" applyNumberFormat="1" applyFont="1" applyFill="1" applyBorder="1" applyAlignment="1">
      <alignment horizontal="center" vertical="center"/>
    </xf>
    <xf numFmtId="0" fontId="0" fillId="0" borderId="36" xfId="0" applyBorder="1" applyAlignment="1">
      <alignment horizontal="left"/>
    </xf>
    <xf numFmtId="49" fontId="13" fillId="0" borderId="9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49" fontId="0" fillId="0" borderId="3" xfId="0" applyNumberFormat="1" applyFont="1" applyBorder="1" applyAlignment="1">
      <alignment horizontal="left" vertical="center"/>
    </xf>
    <xf numFmtId="49" fontId="9" fillId="0" borderId="42" xfId="0" applyNumberFormat="1" applyFont="1" applyBorder="1" applyAlignment="1">
      <alignment horizontal="left" vertical="center"/>
    </xf>
    <xf numFmtId="49" fontId="0" fillId="0" borderId="153" xfId="0" applyNumberFormat="1" applyFont="1" applyBorder="1" applyAlignment="1">
      <alignment horizontal="left" vertical="center"/>
    </xf>
    <xf numFmtId="49" fontId="9" fillId="0" borderId="155" xfId="0" applyNumberFormat="1" applyFont="1" applyBorder="1" applyAlignment="1">
      <alignment horizontal="left" vertical="center"/>
    </xf>
    <xf numFmtId="49" fontId="13" fillId="5" borderId="12" xfId="0" applyNumberFormat="1" applyFont="1" applyFill="1" applyBorder="1" applyAlignment="1">
      <alignment horizontal="center" vertical="center" wrapText="1"/>
    </xf>
    <xf numFmtId="49" fontId="0" fillId="0" borderId="34" xfId="0" applyNumberFormat="1" applyFont="1" applyBorder="1" applyAlignment="1">
      <alignment horizontal="left" vertical="center"/>
    </xf>
    <xf numFmtId="49" fontId="9" fillId="0" borderId="45" xfId="0" applyNumberFormat="1" applyFont="1" applyBorder="1" applyAlignment="1">
      <alignment horizontal="left" vertical="center"/>
    </xf>
    <xf numFmtId="49" fontId="13" fillId="5" borderId="65" xfId="0" applyNumberFormat="1" applyFont="1" applyFill="1" applyBorder="1" applyAlignment="1">
      <alignment horizontal="center" vertical="center" wrapText="1"/>
    </xf>
    <xf numFmtId="49" fontId="13" fillId="0" borderId="2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/>
    </xf>
    <xf numFmtId="49" fontId="13" fillId="5" borderId="36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/>
    </xf>
    <xf numFmtId="49" fontId="13" fillId="5" borderId="129" xfId="0" applyNumberFormat="1" applyFont="1" applyFill="1" applyBorder="1" applyAlignment="1">
      <alignment horizontal="center" vertical="center" wrapText="1"/>
    </xf>
    <xf numFmtId="49" fontId="13" fillId="0" borderId="153" xfId="0" applyNumberFormat="1" applyFont="1" applyBorder="1" applyAlignment="1">
      <alignment horizontal="center" vertical="center"/>
    </xf>
    <xf numFmtId="49" fontId="13" fillId="0" borderId="152" xfId="0" applyNumberFormat="1" applyFont="1" applyBorder="1" applyAlignment="1">
      <alignment horizontal="center" vertical="center"/>
    </xf>
    <xf numFmtId="49" fontId="13" fillId="0" borderId="152" xfId="0" applyNumberFormat="1" applyFont="1" applyFill="1" applyBorder="1" applyAlignment="1">
      <alignment horizontal="center" vertical="center"/>
    </xf>
    <xf numFmtId="49" fontId="13" fillId="0" borderId="146" xfId="0" applyNumberFormat="1" applyFont="1" applyFill="1" applyBorder="1" applyAlignment="1">
      <alignment horizontal="center" vertical="center"/>
    </xf>
    <xf numFmtId="49" fontId="13" fillId="0" borderId="147" xfId="0" applyNumberFormat="1" applyFont="1" applyFill="1" applyBorder="1" applyAlignment="1">
      <alignment horizontal="center" vertical="center"/>
    </xf>
    <xf numFmtId="49" fontId="13" fillId="0" borderId="155" xfId="0" applyNumberFormat="1" applyFont="1" applyFill="1" applyBorder="1" applyAlignment="1">
      <alignment horizontal="center" vertical="center"/>
    </xf>
    <xf numFmtId="49" fontId="13" fillId="0" borderId="45" xfId="0" applyNumberFormat="1" applyFont="1" applyFill="1" applyBorder="1" applyAlignment="1">
      <alignment horizontal="center" vertical="center"/>
    </xf>
    <xf numFmtId="14" fontId="20" fillId="0" borderId="156" xfId="1" applyNumberFormat="1" applyBorder="1" applyAlignment="1">
      <alignment horizontal="center" vertical="center"/>
    </xf>
    <xf numFmtId="14" fontId="20" fillId="0" borderId="157" xfId="1" applyNumberFormat="1" applyBorder="1" applyAlignment="1">
      <alignment horizontal="center" vertical="center"/>
    </xf>
    <xf numFmtId="176" fontId="20" fillId="0" borderId="158" xfId="1" applyNumberFormat="1" applyBorder="1" applyAlignment="1">
      <alignment horizontal="center" vertical="center"/>
    </xf>
    <xf numFmtId="177" fontId="20" fillId="0" borderId="158" xfId="1" applyNumberFormat="1" applyBorder="1" applyAlignment="1">
      <alignment horizontal="center" vertical="center"/>
    </xf>
    <xf numFmtId="0" fontId="20" fillId="0" borderId="159" xfId="1" applyBorder="1" applyAlignment="1">
      <alignment vertical="center"/>
    </xf>
    <xf numFmtId="0" fontId="20" fillId="0" borderId="156" xfId="1" applyBorder="1" applyAlignment="1">
      <alignment horizontal="center" vertical="center"/>
    </xf>
    <xf numFmtId="181" fontId="20" fillId="0" borderId="158" xfId="1" applyNumberFormat="1" applyBorder="1" applyAlignment="1">
      <alignment horizontal="center" vertical="center"/>
    </xf>
    <xf numFmtId="0" fontId="20" fillId="0" borderId="159" xfId="1" applyBorder="1" applyAlignment="1">
      <alignment horizontal="center" vertical="center"/>
    </xf>
    <xf numFmtId="0" fontId="20" fillId="0" borderId="157" xfId="1" applyBorder="1" applyAlignment="1">
      <alignment horizontal="center"/>
    </xf>
    <xf numFmtId="0" fontId="20" fillId="0" borderId="158" xfId="1" applyBorder="1" applyAlignment="1">
      <alignment horizontal="center"/>
    </xf>
    <xf numFmtId="0" fontId="20" fillId="0" borderId="159" xfId="1" applyBorder="1" applyAlignment="1">
      <alignment horizontal="center"/>
    </xf>
    <xf numFmtId="14" fontId="20" fillId="0" borderId="160" xfId="1" applyNumberFormat="1" applyBorder="1" applyAlignment="1">
      <alignment horizontal="center" vertical="center"/>
    </xf>
    <xf numFmtId="14" fontId="20" fillId="0" borderId="161" xfId="1" applyNumberFormat="1" applyBorder="1" applyAlignment="1">
      <alignment horizontal="center" vertical="center"/>
    </xf>
    <xf numFmtId="0" fontId="20" fillId="0" borderId="162" xfId="1" applyBorder="1" applyAlignment="1">
      <alignment horizontal="center" vertical="center"/>
    </xf>
    <xf numFmtId="178" fontId="20" fillId="0" borderId="162" xfId="1" applyNumberFormat="1" applyBorder="1" applyAlignment="1">
      <alignment horizontal="center" vertical="center"/>
    </xf>
    <xf numFmtId="176" fontId="20" fillId="0" borderId="162" xfId="1" applyNumberFormat="1" applyBorder="1" applyAlignment="1">
      <alignment horizontal="center" vertical="center"/>
    </xf>
    <xf numFmtId="177" fontId="20" fillId="0" borderId="162" xfId="1" applyNumberFormat="1" applyBorder="1" applyAlignment="1">
      <alignment horizontal="center" vertical="center"/>
    </xf>
    <xf numFmtId="0" fontId="20" fillId="0" borderId="163" xfId="1" applyBorder="1" applyAlignment="1">
      <alignment vertical="center"/>
    </xf>
    <xf numFmtId="0" fontId="20" fillId="0" borderId="160" xfId="1" applyBorder="1" applyAlignment="1">
      <alignment horizontal="center" vertical="center"/>
    </xf>
    <xf numFmtId="181" fontId="20" fillId="0" borderId="162" xfId="1" applyNumberFormat="1" applyBorder="1" applyAlignment="1">
      <alignment horizontal="center" vertical="center"/>
    </xf>
    <xf numFmtId="0" fontId="20" fillId="0" borderId="163" xfId="1" applyBorder="1" applyAlignment="1">
      <alignment horizontal="center" vertical="center"/>
    </xf>
    <xf numFmtId="0" fontId="20" fillId="0" borderId="161" xfId="1" applyBorder="1" applyAlignment="1">
      <alignment horizontal="center"/>
    </xf>
    <xf numFmtId="0" fontId="20" fillId="0" borderId="162" xfId="1" applyBorder="1" applyAlignment="1">
      <alignment horizontal="center"/>
    </xf>
    <xf numFmtId="0" fontId="20" fillId="0" borderId="163" xfId="1" applyBorder="1" applyAlignment="1">
      <alignment horizontal="center"/>
    </xf>
    <xf numFmtId="14" fontId="20" fillId="0" borderId="164" xfId="1" applyNumberFormat="1" applyBorder="1" applyAlignment="1">
      <alignment horizontal="center" vertical="center"/>
    </xf>
    <xf numFmtId="14" fontId="20" fillId="0" borderId="165" xfId="1" applyNumberFormat="1" applyBorder="1" applyAlignment="1">
      <alignment horizontal="center" vertical="center"/>
    </xf>
    <xf numFmtId="0" fontId="20" fillId="0" borderId="166" xfId="1" applyBorder="1" applyAlignment="1">
      <alignment horizontal="center" vertical="center"/>
    </xf>
    <xf numFmtId="178" fontId="20" fillId="0" borderId="166" xfId="1" applyNumberFormat="1" applyBorder="1" applyAlignment="1">
      <alignment horizontal="center" vertical="center"/>
    </xf>
    <xf numFmtId="176" fontId="20" fillId="0" borderId="166" xfId="1" applyNumberFormat="1" applyBorder="1" applyAlignment="1">
      <alignment horizontal="center" vertical="center"/>
    </xf>
    <xf numFmtId="177" fontId="20" fillId="0" borderId="166" xfId="1" applyNumberFormat="1" applyBorder="1" applyAlignment="1">
      <alignment horizontal="center" vertical="center"/>
    </xf>
    <xf numFmtId="0" fontId="20" fillId="0" borderId="167" xfId="1" applyBorder="1" applyAlignment="1">
      <alignment vertical="center"/>
    </xf>
    <xf numFmtId="0" fontId="20" fillId="0" borderId="164" xfId="1" applyBorder="1" applyAlignment="1">
      <alignment horizontal="center" vertical="center"/>
    </xf>
    <xf numFmtId="181" fontId="20" fillId="0" borderId="166" xfId="1" applyNumberFormat="1" applyBorder="1" applyAlignment="1">
      <alignment horizontal="center" vertical="center"/>
    </xf>
    <xf numFmtId="0" fontId="20" fillId="0" borderId="167" xfId="1" applyBorder="1" applyAlignment="1">
      <alignment horizontal="center" vertical="center"/>
    </xf>
    <xf numFmtId="0" fontId="20" fillId="0" borderId="165" xfId="1" applyBorder="1" applyAlignment="1">
      <alignment horizontal="center"/>
    </xf>
    <xf numFmtId="0" fontId="20" fillId="0" borderId="166" xfId="1" applyBorder="1" applyAlignment="1">
      <alignment horizontal="center"/>
    </xf>
    <xf numFmtId="0" fontId="20" fillId="0" borderId="167" xfId="1" applyBorder="1" applyAlignment="1">
      <alignment horizontal="center"/>
    </xf>
    <xf numFmtId="14" fontId="20" fillId="0" borderId="32" xfId="1" applyNumberFormat="1" applyBorder="1" applyAlignment="1">
      <alignment horizontal="center" vertical="center"/>
    </xf>
    <xf numFmtId="14" fontId="20" fillId="0" borderId="47" xfId="1" applyNumberFormat="1" applyBorder="1" applyAlignment="1">
      <alignment horizontal="center" vertical="center"/>
    </xf>
    <xf numFmtId="0" fontId="20" fillId="0" borderId="31" xfId="1" applyBorder="1" applyAlignment="1">
      <alignment horizontal="center" vertical="center"/>
    </xf>
    <xf numFmtId="0" fontId="13" fillId="0" borderId="166" xfId="0" applyFont="1" applyBorder="1" applyAlignment="1">
      <alignment horizontal="center" vertical="center"/>
    </xf>
    <xf numFmtId="0" fontId="20" fillId="0" borderId="158" xfId="1" applyBorder="1" applyAlignment="1">
      <alignment horizontal="center" vertical="center"/>
    </xf>
    <xf numFmtId="178" fontId="20" fillId="0" borderId="158" xfId="1" applyNumberFormat="1" applyBorder="1" applyAlignment="1">
      <alignment horizontal="center" vertical="center"/>
    </xf>
    <xf numFmtId="0" fontId="13" fillId="0" borderId="130" xfId="0" applyNumberFormat="1" applyFont="1" applyFill="1" applyBorder="1" applyAlignment="1">
      <alignment horizontal="center" vertical="center"/>
    </xf>
    <xf numFmtId="0" fontId="13" fillId="0" borderId="60" xfId="0" applyNumberFormat="1" applyFont="1" applyFill="1" applyBorder="1" applyAlignment="1">
      <alignment horizontal="center" vertical="center"/>
    </xf>
    <xf numFmtId="0" fontId="13" fillId="0" borderId="114" xfId="0" applyNumberFormat="1" applyFont="1" applyBorder="1" applyAlignment="1">
      <alignment horizontal="center" vertical="center"/>
    </xf>
    <xf numFmtId="0" fontId="13" fillId="0" borderId="166" xfId="0" applyNumberFormat="1" applyFont="1" applyFill="1" applyBorder="1" applyAlignment="1">
      <alignment horizontal="center" vertical="center"/>
    </xf>
    <xf numFmtId="49" fontId="13" fillId="0" borderId="166" xfId="0" applyNumberFormat="1" applyFont="1" applyFill="1" applyBorder="1" applyAlignment="1">
      <alignment horizontal="center" vertical="center"/>
    </xf>
    <xf numFmtId="0" fontId="0" fillId="0" borderId="0" xfId="0" applyBorder="1"/>
    <xf numFmtId="49" fontId="13" fillId="0" borderId="164" xfId="0" applyNumberFormat="1" applyFont="1" applyFill="1" applyBorder="1" applyAlignment="1">
      <alignment horizontal="center" vertical="center"/>
    </xf>
    <xf numFmtId="0" fontId="13" fillId="0" borderId="166" xfId="0" applyFont="1" applyFill="1" applyBorder="1" applyAlignment="1">
      <alignment horizontal="center" vertical="center"/>
    </xf>
    <xf numFmtId="0" fontId="13" fillId="0" borderId="167" xfId="0" applyNumberFormat="1" applyFont="1" applyFill="1" applyBorder="1" applyAlignment="1">
      <alignment horizontal="center" vertical="center"/>
    </xf>
    <xf numFmtId="0" fontId="13" fillId="0" borderId="167" xfId="0" applyFont="1" applyFill="1" applyBorder="1" applyAlignment="1">
      <alignment horizontal="center" vertical="center"/>
    </xf>
    <xf numFmtId="0" fontId="13" fillId="0" borderId="164" xfId="0" applyFont="1" applyFill="1" applyBorder="1" applyAlignment="1">
      <alignment horizontal="center" vertical="center"/>
    </xf>
    <xf numFmtId="0" fontId="13" fillId="0" borderId="164" xfId="0" applyNumberFormat="1" applyFont="1" applyFill="1" applyBorder="1" applyAlignment="1">
      <alignment horizontal="center" vertical="center"/>
    </xf>
    <xf numFmtId="0" fontId="13" fillId="0" borderId="167" xfId="0" applyNumberFormat="1" applyFont="1" applyBorder="1" applyAlignment="1">
      <alignment horizontal="center" vertical="center"/>
    </xf>
    <xf numFmtId="0" fontId="13" fillId="0" borderId="167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49" fontId="54" fillId="0" borderId="11" xfId="4" applyNumberFormat="1" applyFont="1" applyBorder="1" applyAlignment="1">
      <alignment horizontal="left" vertical="center"/>
    </xf>
    <xf numFmtId="0" fontId="2" fillId="0" borderId="75" xfId="2" applyFont="1" applyBorder="1">
      <alignment vertical="center"/>
    </xf>
    <xf numFmtId="0" fontId="53" fillId="0" borderId="0" xfId="4" applyAlignment="1"/>
    <xf numFmtId="0" fontId="53" fillId="0" borderId="166" xfId="4" applyBorder="1" applyAlignment="1">
      <alignment horizontal="center" vertical="center"/>
    </xf>
    <xf numFmtId="0" fontId="53" fillId="0" borderId="166" xfId="4" applyFill="1" applyBorder="1" applyAlignment="1">
      <alignment horizontal="center" vertical="center"/>
    </xf>
    <xf numFmtId="0" fontId="53" fillId="0" borderId="31" xfId="4" applyFill="1" applyBorder="1" applyAlignment="1">
      <alignment horizontal="center" vertical="center"/>
    </xf>
    <xf numFmtId="49" fontId="0" fillId="0" borderId="164" xfId="0" applyNumberFormat="1" applyFont="1" applyBorder="1" applyAlignment="1">
      <alignment horizontal="left" vertical="center"/>
    </xf>
    <xf numFmtId="49" fontId="9" fillId="0" borderId="167" xfId="0" applyNumberFormat="1" applyFont="1" applyBorder="1" applyAlignment="1">
      <alignment horizontal="left" vertical="center"/>
    </xf>
    <xf numFmtId="49" fontId="13" fillId="0" borderId="14" xfId="0" applyNumberFormat="1" applyFont="1" applyBorder="1" applyAlignment="1">
      <alignment horizontal="left" vertical="center"/>
    </xf>
    <xf numFmtId="0" fontId="13" fillId="0" borderId="180" xfId="0" applyNumberFormat="1" applyFont="1" applyBorder="1" applyAlignment="1">
      <alignment horizontal="center" vertical="center" shrinkToFit="1"/>
    </xf>
    <xf numFmtId="0" fontId="13" fillId="0" borderId="122" xfId="0" applyNumberFormat="1" applyFont="1" applyBorder="1" applyAlignment="1">
      <alignment horizontal="center" vertical="center" shrinkToFit="1"/>
    </xf>
    <xf numFmtId="0" fontId="13" fillId="0" borderId="181" xfId="0" applyNumberFormat="1" applyFont="1" applyBorder="1" applyAlignment="1">
      <alignment horizontal="center" vertical="center" shrinkToFit="1"/>
    </xf>
    <xf numFmtId="0" fontId="13" fillId="0" borderId="182" xfId="0" applyNumberFormat="1" applyFont="1" applyBorder="1" applyAlignment="1">
      <alignment horizontal="center" vertical="center"/>
    </xf>
    <xf numFmtId="0" fontId="13" fillId="0" borderId="122" xfId="0" applyNumberFormat="1" applyFont="1" applyBorder="1" applyAlignment="1">
      <alignment horizontal="center" vertical="center"/>
    </xf>
    <xf numFmtId="0" fontId="13" fillId="0" borderId="183" xfId="0" applyNumberFormat="1" applyFont="1" applyBorder="1" applyAlignment="1">
      <alignment horizontal="center" vertical="center"/>
    </xf>
    <xf numFmtId="49" fontId="53" fillId="0" borderId="170" xfId="4" applyNumberFormat="1" applyFill="1" applyBorder="1" applyAlignment="1">
      <alignment horizontal="center" vertical="center" shrinkToFit="1"/>
    </xf>
    <xf numFmtId="49" fontId="13" fillId="5" borderId="13" xfId="0" applyNumberFormat="1" applyFont="1" applyFill="1" applyBorder="1" applyAlignment="1">
      <alignment horizontal="center" vertical="center" wrapText="1"/>
    </xf>
    <xf numFmtId="49" fontId="13" fillId="5" borderId="80" xfId="0" applyNumberFormat="1" applyFont="1" applyFill="1" applyBorder="1" applyAlignment="1">
      <alignment horizontal="center" vertical="center" wrapText="1"/>
    </xf>
    <xf numFmtId="49" fontId="13" fillId="5" borderId="116" xfId="0" applyNumberFormat="1" applyFont="1" applyFill="1" applyBorder="1" applyAlignment="1">
      <alignment horizontal="center" vertical="center"/>
    </xf>
    <xf numFmtId="49" fontId="13" fillId="5" borderId="70" xfId="0" applyNumberFormat="1" applyFont="1" applyFill="1" applyBorder="1" applyAlignment="1">
      <alignment horizontal="center" vertical="center"/>
    </xf>
    <xf numFmtId="49" fontId="13" fillId="5" borderId="116" xfId="0" applyNumberFormat="1" applyFont="1" applyFill="1" applyBorder="1" applyAlignment="1">
      <alignment horizontal="center" vertical="center" wrapText="1"/>
    </xf>
    <xf numFmtId="49" fontId="13" fillId="5" borderId="11" xfId="0" applyNumberFormat="1" applyFont="1" applyFill="1" applyBorder="1" applyAlignment="1">
      <alignment horizontal="left" vertical="center"/>
    </xf>
    <xf numFmtId="49" fontId="13" fillId="5" borderId="50" xfId="0" applyNumberFormat="1" applyFont="1" applyFill="1" applyBorder="1" applyAlignment="1">
      <alignment horizontal="left" vertical="center"/>
    </xf>
    <xf numFmtId="0" fontId="13" fillId="0" borderId="176" xfId="0" applyNumberFormat="1" applyFont="1" applyBorder="1" applyAlignment="1">
      <alignment horizontal="center" vertical="center"/>
    </xf>
    <xf numFmtId="0" fontId="13" fillId="0" borderId="174" xfId="0" applyNumberFormat="1" applyFont="1" applyBorder="1" applyAlignment="1">
      <alignment horizontal="center" vertical="center"/>
    </xf>
    <xf numFmtId="0" fontId="13" fillId="0" borderId="20" xfId="0" applyNumberFormat="1" applyFont="1" applyBorder="1" applyAlignment="1">
      <alignment horizontal="center" vertical="center"/>
    </xf>
    <xf numFmtId="49" fontId="13" fillId="5" borderId="14" xfId="0" applyNumberFormat="1" applyFont="1" applyFill="1" applyBorder="1" applyAlignment="1">
      <alignment horizontal="left" vertical="center"/>
    </xf>
    <xf numFmtId="49" fontId="53" fillId="0" borderId="56" xfId="4" applyNumberFormat="1" applyFill="1" applyBorder="1" applyAlignment="1">
      <alignment horizontal="center" vertical="center" shrinkToFit="1"/>
    </xf>
    <xf numFmtId="49" fontId="13" fillId="0" borderId="57" xfId="0" applyNumberFormat="1" applyFont="1" applyFill="1" applyBorder="1" applyAlignment="1">
      <alignment horizontal="center" vertical="center" shrinkToFit="1"/>
    </xf>
    <xf numFmtId="49" fontId="13" fillId="0" borderId="172" xfId="0" applyNumberFormat="1" applyFont="1" applyFill="1" applyBorder="1" applyAlignment="1">
      <alignment horizontal="center" vertical="center" shrinkToFit="1"/>
    </xf>
    <xf numFmtId="49" fontId="13" fillId="0" borderId="126" xfId="0" applyNumberFormat="1" applyFont="1" applyBorder="1" applyAlignment="1">
      <alignment horizontal="center" vertical="center"/>
    </xf>
    <xf numFmtId="49" fontId="13" fillId="0" borderId="128" xfId="0" applyNumberFormat="1" applyFont="1" applyBorder="1" applyAlignment="1">
      <alignment horizontal="center" vertical="center"/>
    </xf>
    <xf numFmtId="49" fontId="13" fillId="0" borderId="127" xfId="0" applyNumberFormat="1" applyFont="1" applyBorder="1" applyAlignment="1">
      <alignment horizontal="center" vertical="center"/>
    </xf>
    <xf numFmtId="49" fontId="13" fillId="5" borderId="26" xfId="0" applyNumberFormat="1" applyFont="1" applyFill="1" applyBorder="1" applyAlignment="1">
      <alignment horizontal="left" vertical="center" shrinkToFit="1"/>
    </xf>
    <xf numFmtId="49" fontId="13" fillId="5" borderId="27" xfId="0" applyNumberFormat="1" applyFont="1" applyFill="1" applyBorder="1" applyAlignment="1">
      <alignment horizontal="left" vertical="center" shrinkToFit="1"/>
    </xf>
    <xf numFmtId="49" fontId="13" fillId="5" borderId="21" xfId="0" applyNumberFormat="1" applyFont="1" applyFill="1" applyBorder="1" applyAlignment="1">
      <alignment horizontal="left" vertical="center" shrinkToFit="1"/>
    </xf>
    <xf numFmtId="49" fontId="13" fillId="5" borderId="13" xfId="0" applyNumberFormat="1" applyFont="1" applyFill="1" applyBorder="1" applyAlignment="1">
      <alignment horizontal="center" vertical="center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9" xfId="0" applyNumberFormat="1" applyFont="1" applyFill="1" applyBorder="1" applyAlignment="1">
      <alignment horizontal="center" vertical="center"/>
    </xf>
    <xf numFmtId="0" fontId="13" fillId="0" borderId="173" xfId="0" applyNumberFormat="1" applyFont="1" applyBorder="1" applyAlignment="1">
      <alignment horizontal="center" vertical="center" shrinkToFit="1"/>
    </xf>
    <xf numFmtId="0" fontId="13" fillId="0" borderId="174" xfId="0" applyNumberFormat="1" applyFont="1" applyBorder="1" applyAlignment="1">
      <alignment horizontal="center" vertical="center" shrinkToFit="1"/>
    </xf>
    <xf numFmtId="0" fontId="13" fillId="0" borderId="175" xfId="0" applyNumberFormat="1" applyFont="1" applyBorder="1" applyAlignment="1">
      <alignment horizontal="center" vertical="center" shrinkToFit="1"/>
    </xf>
    <xf numFmtId="0" fontId="13" fillId="0" borderId="54" xfId="0" applyNumberFormat="1" applyFont="1" applyBorder="1" applyAlignment="1">
      <alignment horizontal="center" vertical="center"/>
    </xf>
    <xf numFmtId="0" fontId="13" fillId="0" borderId="55" xfId="0" applyNumberFormat="1" applyFont="1" applyBorder="1" applyAlignment="1">
      <alignment horizontal="center" vertical="center"/>
    </xf>
    <xf numFmtId="0" fontId="13" fillId="0" borderId="49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3" fillId="0" borderId="13" xfId="0" applyNumberFormat="1" applyFont="1" applyBorder="1" applyAlignment="1">
      <alignment horizontal="center" vertical="center"/>
    </xf>
    <xf numFmtId="49" fontId="13" fillId="0" borderId="9" xfId="0" applyNumberFormat="1" applyFont="1" applyBorder="1" applyAlignment="1">
      <alignment horizontal="center" vertical="center"/>
    </xf>
    <xf numFmtId="49" fontId="13" fillId="0" borderId="50" xfId="0" applyNumberFormat="1" applyFont="1" applyBorder="1" applyAlignment="1">
      <alignment horizontal="left" vertical="center"/>
    </xf>
    <xf numFmtId="49" fontId="13" fillId="0" borderId="12" xfId="0" applyNumberFormat="1" applyFont="1" applyBorder="1" applyAlignment="1">
      <alignment horizontal="left" vertical="center"/>
    </xf>
    <xf numFmtId="49" fontId="13" fillId="0" borderId="51" xfId="0" applyNumberFormat="1" applyFont="1" applyBorder="1" applyAlignment="1">
      <alignment horizontal="left" vertical="center"/>
    </xf>
    <xf numFmtId="49" fontId="13" fillId="0" borderId="10" xfId="0" applyNumberFormat="1" applyFont="1" applyBorder="1" applyAlignment="1">
      <alignment horizontal="left" vertical="center"/>
    </xf>
    <xf numFmtId="49" fontId="13" fillId="0" borderId="25" xfId="0" applyNumberFormat="1" applyFont="1" applyBorder="1" applyAlignment="1">
      <alignment horizontal="center" vertical="center"/>
    </xf>
    <xf numFmtId="49" fontId="13" fillId="0" borderId="4" xfId="0" applyNumberFormat="1" applyFont="1" applyBorder="1" applyAlignment="1">
      <alignment horizontal="center" vertical="center"/>
    </xf>
    <xf numFmtId="49" fontId="13" fillId="0" borderId="26" xfId="0" applyNumberFormat="1" applyFont="1" applyFill="1" applyBorder="1" applyAlignment="1">
      <alignment horizontal="left" vertical="center" shrinkToFit="1"/>
    </xf>
    <xf numFmtId="49" fontId="13" fillId="0" borderId="27" xfId="0" applyNumberFormat="1" applyFont="1" applyFill="1" applyBorder="1" applyAlignment="1">
      <alignment horizontal="left" vertical="center" shrinkToFit="1"/>
    </xf>
    <xf numFmtId="49" fontId="13" fillId="0" borderId="2" xfId="0" applyNumberFormat="1" applyFont="1" applyFill="1" applyBorder="1" applyAlignment="1">
      <alignment horizontal="left" vertical="center" shrinkToFit="1"/>
    </xf>
    <xf numFmtId="49" fontId="13" fillId="0" borderId="21" xfId="0" applyNumberFormat="1" applyFont="1" applyFill="1" applyBorder="1" applyAlignment="1">
      <alignment horizontal="left" vertical="center" shrinkToFit="1"/>
    </xf>
    <xf numFmtId="49" fontId="13" fillId="0" borderId="23" xfId="0" applyNumberFormat="1" applyFont="1" applyBorder="1" applyAlignment="1">
      <alignment horizontal="center" vertical="center" wrapText="1" shrinkToFit="1"/>
    </xf>
    <xf numFmtId="49" fontId="13" fillId="0" borderId="24" xfId="0" applyNumberFormat="1" applyFont="1" applyBorder="1" applyAlignment="1">
      <alignment horizontal="center" vertical="center" shrinkToFit="1"/>
    </xf>
    <xf numFmtId="49" fontId="13" fillId="0" borderId="28" xfId="0" applyNumberFormat="1" applyFont="1" applyBorder="1" applyAlignment="1">
      <alignment horizontal="left" vertical="center"/>
    </xf>
    <xf numFmtId="49" fontId="13" fillId="0" borderId="4" xfId="0" applyNumberFormat="1" applyFont="1" applyBorder="1" applyAlignment="1">
      <alignment horizontal="left" vertical="center"/>
    </xf>
    <xf numFmtId="49" fontId="13" fillId="0" borderId="26" xfId="0" applyNumberFormat="1" applyFont="1" applyBorder="1" applyAlignment="1">
      <alignment horizontal="left" vertical="center" shrinkToFit="1"/>
    </xf>
    <xf numFmtId="49" fontId="13" fillId="0" borderId="27" xfId="0" applyNumberFormat="1" applyFont="1" applyBorder="1" applyAlignment="1">
      <alignment horizontal="left" vertical="center" shrinkToFit="1"/>
    </xf>
    <xf numFmtId="49" fontId="13" fillId="0" borderId="2" xfId="0" applyNumberFormat="1" applyFont="1" applyBorder="1" applyAlignment="1">
      <alignment horizontal="left" vertical="center" shrinkToFit="1"/>
    </xf>
    <xf numFmtId="49" fontId="13" fillId="0" borderId="21" xfId="0" applyNumberFormat="1" applyFont="1" applyBorder="1" applyAlignment="1">
      <alignment horizontal="left" vertical="center" shrinkToFit="1"/>
    </xf>
    <xf numFmtId="49" fontId="13" fillId="0" borderId="29" xfId="0" applyNumberFormat="1" applyFont="1" applyBorder="1" applyAlignment="1">
      <alignment horizontal="left" vertical="center"/>
    </xf>
    <xf numFmtId="49" fontId="13" fillId="0" borderId="20" xfId="0" applyNumberFormat="1" applyFont="1" applyBorder="1" applyAlignment="1">
      <alignment horizontal="left" vertical="center"/>
    </xf>
    <xf numFmtId="0" fontId="13" fillId="0" borderId="177" xfId="0" applyNumberFormat="1" applyFont="1" applyBorder="1" applyAlignment="1">
      <alignment horizontal="center" vertical="center"/>
    </xf>
    <xf numFmtId="0" fontId="13" fillId="0" borderId="171" xfId="0" applyNumberFormat="1" applyFont="1" applyBorder="1" applyAlignment="1">
      <alignment horizontal="center" vertical="center"/>
    </xf>
    <xf numFmtId="0" fontId="13" fillId="0" borderId="18" xfId="0" applyNumberFormat="1" applyFont="1" applyBorder="1" applyAlignment="1">
      <alignment horizontal="center" vertical="center"/>
    </xf>
    <xf numFmtId="0" fontId="13" fillId="0" borderId="168" xfId="0" applyNumberFormat="1" applyFont="1" applyBorder="1" applyAlignment="1">
      <alignment horizontal="center" vertical="center" shrinkToFit="1"/>
    </xf>
    <xf numFmtId="0" fontId="13" fillId="0" borderId="53" xfId="0" applyNumberFormat="1" applyFont="1" applyBorder="1" applyAlignment="1">
      <alignment horizontal="center" vertical="center" shrinkToFit="1"/>
    </xf>
    <xf numFmtId="0" fontId="13" fillId="0" borderId="169" xfId="0" applyNumberFormat="1" applyFont="1" applyBorder="1" applyAlignment="1">
      <alignment horizontal="center" vertical="center" shrinkToFit="1"/>
    </xf>
    <xf numFmtId="0" fontId="13" fillId="0" borderId="170" xfId="0" applyNumberFormat="1" applyFont="1" applyBorder="1" applyAlignment="1">
      <alignment horizontal="center" vertical="center" shrinkToFit="1"/>
    </xf>
    <xf numFmtId="0" fontId="13" fillId="0" borderId="171" xfId="0" applyNumberFormat="1" applyFont="1" applyBorder="1" applyAlignment="1">
      <alignment horizontal="center" vertical="center" shrinkToFit="1"/>
    </xf>
    <xf numFmtId="0" fontId="13" fillId="0" borderId="172" xfId="0" applyNumberFormat="1" applyFont="1" applyBorder="1" applyAlignment="1">
      <alignment horizontal="center" vertical="center" shrinkToFit="1"/>
    </xf>
    <xf numFmtId="49" fontId="12" fillId="0" borderId="13" xfId="0" applyNumberFormat="1" applyFont="1" applyBorder="1" applyAlignment="1">
      <alignment horizontal="center" vertical="center" wrapText="1" shrinkToFit="1"/>
    </xf>
    <xf numFmtId="49" fontId="12" fillId="0" borderId="5" xfId="0" applyNumberFormat="1" applyFont="1" applyBorder="1" applyAlignment="1">
      <alignment horizontal="center" vertical="center" shrinkToFit="1"/>
    </xf>
    <xf numFmtId="49" fontId="12" fillId="0" borderId="9" xfId="0" applyNumberFormat="1" applyFont="1" applyBorder="1" applyAlignment="1">
      <alignment horizontal="center" vertical="center" shrinkToFit="1"/>
    </xf>
    <xf numFmtId="49" fontId="13" fillId="5" borderId="51" xfId="0" applyNumberFormat="1" applyFont="1" applyFill="1" applyBorder="1" applyAlignment="1">
      <alignment horizontal="left" vertical="center" shrinkToFit="1"/>
    </xf>
    <xf numFmtId="49" fontId="13" fillId="5" borderId="14" xfId="0" applyNumberFormat="1" applyFont="1" applyFill="1" applyBorder="1" applyAlignment="1">
      <alignment horizontal="left" vertical="center" shrinkToFit="1"/>
    </xf>
    <xf numFmtId="49" fontId="13" fillId="0" borderId="123" xfId="0" applyNumberFormat="1" applyFont="1" applyBorder="1" applyAlignment="1">
      <alignment horizontal="center" vertical="center"/>
    </xf>
    <xf numFmtId="49" fontId="13" fillId="0" borderId="124" xfId="0" applyNumberFormat="1" applyFont="1" applyBorder="1" applyAlignment="1">
      <alignment horizontal="center" vertical="center"/>
    </xf>
    <xf numFmtId="49" fontId="11" fillId="0" borderId="0" xfId="0" applyNumberFormat="1" applyFont="1" applyBorder="1" applyAlignment="1">
      <alignment horizontal="center" vertical="center"/>
    </xf>
    <xf numFmtId="14" fontId="0" fillId="0" borderId="26" xfId="0" applyNumberFormat="1" applyFont="1" applyBorder="1" applyAlignment="1">
      <alignment horizontal="center" vertical="center"/>
    </xf>
    <xf numFmtId="14" fontId="9" fillId="0" borderId="21" xfId="0" applyNumberFormat="1" applyFont="1" applyBorder="1" applyAlignment="1">
      <alignment horizontal="center" vertical="center"/>
    </xf>
    <xf numFmtId="49" fontId="0" fillId="0" borderId="26" xfId="0" applyNumberFormat="1" applyFont="1" applyBorder="1" applyAlignment="1">
      <alignment horizontal="center" vertical="center"/>
    </xf>
    <xf numFmtId="49" fontId="0" fillId="0" borderId="21" xfId="0" applyNumberFormat="1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49" fontId="13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48" fillId="0" borderId="28" xfId="1" applyFont="1" applyFill="1" applyBorder="1" applyAlignment="1">
      <alignment horizontal="center" vertical="center"/>
    </xf>
    <xf numFmtId="0" fontId="48" fillId="0" borderId="118" xfId="1" applyFont="1" applyFill="1" applyBorder="1" applyAlignment="1">
      <alignment horizontal="center" vertical="center"/>
    </xf>
    <xf numFmtId="0" fontId="48" fillId="0" borderId="79" xfId="1" applyFont="1" applyFill="1" applyBorder="1" applyAlignment="1">
      <alignment horizontal="center" vertical="center"/>
    </xf>
    <xf numFmtId="0" fontId="48" fillId="0" borderId="3" xfId="1" applyFont="1" applyFill="1" applyBorder="1" applyAlignment="1">
      <alignment horizontal="center" vertical="center"/>
    </xf>
    <xf numFmtId="0" fontId="48" fillId="0" borderId="7" xfId="1" applyFont="1" applyFill="1" applyBorder="1" applyAlignment="1">
      <alignment horizontal="center" vertical="center"/>
    </xf>
    <xf numFmtId="0" fontId="20" fillId="0" borderId="79" xfId="1" applyBorder="1" applyAlignment="1">
      <alignment horizontal="center" vertical="center" wrapText="1"/>
    </xf>
    <xf numFmtId="0" fontId="20" fillId="0" borderId="7" xfId="1" applyBorder="1" applyAlignment="1">
      <alignment horizontal="center" vertical="center"/>
    </xf>
    <xf numFmtId="0" fontId="20" fillId="0" borderId="42" xfId="1" applyBorder="1" applyAlignment="1">
      <alignment horizontal="center" vertical="center"/>
    </xf>
    <xf numFmtId="0" fontId="20" fillId="0" borderId="143" xfId="1" applyBorder="1" applyAlignment="1">
      <alignment horizontal="center" vertical="center"/>
    </xf>
    <xf numFmtId="0" fontId="20" fillId="0" borderId="11" xfId="1" applyBorder="1" applyAlignment="1">
      <alignment horizontal="center"/>
    </xf>
    <xf numFmtId="0" fontId="20" fillId="0" borderId="12" xfId="1" applyBorder="1" applyAlignment="1">
      <alignment horizontal="center"/>
    </xf>
    <xf numFmtId="0" fontId="20" fillId="0" borderId="51" xfId="1" applyBorder="1" applyAlignment="1">
      <alignment horizontal="center"/>
    </xf>
    <xf numFmtId="0" fontId="20" fillId="0" borderId="14" xfId="1" applyBorder="1" applyAlignment="1">
      <alignment horizontal="center"/>
    </xf>
    <xf numFmtId="0" fontId="20" fillId="0" borderId="78" xfId="1" applyBorder="1" applyAlignment="1">
      <alignment horizontal="center"/>
    </xf>
    <xf numFmtId="0" fontId="20" fillId="0" borderId="23" xfId="1" applyBorder="1" applyAlignment="1">
      <alignment horizontal="center" vertical="center"/>
    </xf>
    <xf numFmtId="0" fontId="20" fillId="0" borderId="11" xfId="1" applyBorder="1" applyAlignment="1">
      <alignment horizontal="center" vertical="center"/>
    </xf>
    <xf numFmtId="0" fontId="20" fillId="0" borderId="12" xfId="1" applyBorder="1" applyAlignment="1">
      <alignment horizontal="center" vertical="center"/>
    </xf>
    <xf numFmtId="0" fontId="20" fillId="0" borderId="24" xfId="1" applyBorder="1" applyAlignment="1">
      <alignment horizontal="center" vertical="center"/>
    </xf>
    <xf numFmtId="0" fontId="20" fillId="0" borderId="14" xfId="1" applyBorder="1" applyAlignment="1">
      <alignment horizontal="center" vertical="center"/>
    </xf>
    <xf numFmtId="0" fontId="20" fillId="0" borderId="10" xfId="1" applyBorder="1" applyAlignment="1">
      <alignment horizontal="center" vertical="center"/>
    </xf>
    <xf numFmtId="0" fontId="8" fillId="0" borderId="52" xfId="2" applyBorder="1" applyAlignment="1">
      <alignment horizontal="center" vertical="center" wrapText="1"/>
    </xf>
    <xf numFmtId="0" fontId="8" fillId="0" borderId="59" xfId="2" applyBorder="1" applyAlignment="1">
      <alignment horizontal="center" vertical="center" wrapText="1"/>
    </xf>
    <xf numFmtId="0" fontId="8" fillId="0" borderId="24" xfId="2" applyBorder="1" applyAlignment="1">
      <alignment horizontal="center" vertical="center" wrapText="1"/>
    </xf>
    <xf numFmtId="0" fontId="8" fillId="0" borderId="78" xfId="2" applyBorder="1" applyAlignment="1">
      <alignment horizontal="center" vertical="center" wrapText="1"/>
    </xf>
    <xf numFmtId="0" fontId="27" fillId="0" borderId="0" xfId="2" applyFont="1" applyAlignment="1">
      <alignment horizontal="center" vertical="center"/>
    </xf>
    <xf numFmtId="0" fontId="8" fillId="0" borderId="22" xfId="2" applyBorder="1" applyAlignment="1">
      <alignment horizontal="center" vertical="center"/>
    </xf>
    <xf numFmtId="0" fontId="8" fillId="0" borderId="2" xfId="2" applyBorder="1" applyAlignment="1">
      <alignment horizontal="center" vertical="center"/>
    </xf>
    <xf numFmtId="0" fontId="8" fillId="0" borderId="26" xfId="2" applyBorder="1" applyAlignment="1">
      <alignment horizontal="center" vertical="center"/>
    </xf>
    <xf numFmtId="0" fontId="8" fillId="0" borderId="27" xfId="2" applyBorder="1" applyAlignment="1">
      <alignment horizontal="center" vertical="center"/>
    </xf>
    <xf numFmtId="0" fontId="8" fillId="0" borderId="21" xfId="2" applyBorder="1" applyAlignment="1">
      <alignment horizontal="center" vertical="center"/>
    </xf>
    <xf numFmtId="0" fontId="8" fillId="0" borderId="52" xfId="2" applyBorder="1" applyAlignment="1">
      <alignment horizontal="center" vertical="center"/>
    </xf>
    <xf numFmtId="0" fontId="8" fillId="0" borderId="59" xfId="2" applyBorder="1" applyAlignment="1">
      <alignment horizontal="center" vertical="center"/>
    </xf>
    <xf numFmtId="0" fontId="8" fillId="0" borderId="66" xfId="2" applyBorder="1" applyAlignment="1">
      <alignment horizontal="center" vertical="center"/>
    </xf>
    <xf numFmtId="0" fontId="8" fillId="0" borderId="67" xfId="2" applyBorder="1" applyAlignment="1">
      <alignment horizontal="center" vertical="center"/>
    </xf>
    <xf numFmtId="0" fontId="8" fillId="0" borderId="68" xfId="2" applyBorder="1" applyAlignment="1">
      <alignment horizontal="center" vertical="center"/>
    </xf>
    <xf numFmtId="0" fontId="8" fillId="0" borderId="69" xfId="2" applyBorder="1" applyAlignment="1">
      <alignment horizontal="center" vertical="center"/>
    </xf>
    <xf numFmtId="0" fontId="8" fillId="0" borderId="66" xfId="2" applyBorder="1" applyAlignment="1">
      <alignment horizontal="center" vertical="center" wrapText="1"/>
    </xf>
    <xf numFmtId="0" fontId="8" fillId="0" borderId="67" xfId="2" applyBorder="1" applyAlignment="1">
      <alignment horizontal="center" vertical="center" wrapText="1"/>
    </xf>
    <xf numFmtId="0" fontId="8" fillId="0" borderId="68" xfId="2" applyBorder="1" applyAlignment="1">
      <alignment horizontal="center" vertical="center" wrapText="1"/>
    </xf>
    <xf numFmtId="0" fontId="8" fillId="0" borderId="69" xfId="2" applyBorder="1" applyAlignment="1">
      <alignment horizontal="center" vertical="center" wrapText="1"/>
    </xf>
    <xf numFmtId="0" fontId="2" fillId="0" borderId="178" xfId="2" applyFont="1" applyBorder="1" applyAlignment="1">
      <alignment horizontal="center" vertical="center"/>
    </xf>
    <xf numFmtId="0" fontId="8" fillId="0" borderId="179" xfId="2" applyBorder="1" applyAlignment="1">
      <alignment horizontal="center" vertical="center"/>
    </xf>
    <xf numFmtId="0" fontId="34" fillId="3" borderId="33" xfId="1" applyFont="1" applyFill="1" applyBorder="1" applyAlignment="1">
      <alignment horizontal="center" vertical="center" wrapText="1"/>
    </xf>
    <xf numFmtId="0" fontId="34" fillId="3" borderId="35" xfId="1" applyFont="1" applyFill="1" applyBorder="1" applyAlignment="1">
      <alignment horizontal="center" vertical="center" wrapText="1"/>
    </xf>
    <xf numFmtId="0" fontId="32" fillId="0" borderId="106" xfId="1" applyFont="1" applyBorder="1" applyAlignment="1">
      <alignment horizontal="center" vertical="center" wrapText="1"/>
    </xf>
    <xf numFmtId="0" fontId="32" fillId="0" borderId="94" xfId="1" applyFont="1" applyBorder="1" applyAlignment="1">
      <alignment horizontal="center" vertical="center" wrapText="1"/>
    </xf>
    <xf numFmtId="0" fontId="32" fillId="0" borderId="90" xfId="1" applyFont="1" applyBorder="1" applyAlignment="1">
      <alignment horizontal="center" vertical="center" wrapText="1"/>
    </xf>
    <xf numFmtId="0" fontId="32" fillId="0" borderId="110" xfId="1" applyFont="1" applyBorder="1" applyAlignment="1">
      <alignment horizontal="center" vertical="center" wrapText="1"/>
    </xf>
    <xf numFmtId="0" fontId="36" fillId="0" borderId="98" xfId="1" applyFont="1" applyFill="1" applyBorder="1" applyAlignment="1">
      <alignment horizontal="center" vertical="center"/>
    </xf>
    <xf numFmtId="0" fontId="36" fillId="0" borderId="18" xfId="1" applyFont="1" applyFill="1" applyBorder="1" applyAlignment="1">
      <alignment horizontal="center" vertical="center"/>
    </xf>
    <xf numFmtId="0" fontId="36" fillId="0" borderId="105" xfId="1" applyFont="1" applyFill="1" applyBorder="1" applyAlignment="1">
      <alignment horizontal="center" vertical="center"/>
    </xf>
    <xf numFmtId="0" fontId="36" fillId="0" borderId="53" xfId="1" applyFont="1" applyFill="1" applyBorder="1" applyAlignment="1">
      <alignment horizontal="center" vertical="center"/>
    </xf>
    <xf numFmtId="0" fontId="36" fillId="0" borderId="72" xfId="1" applyFont="1" applyFill="1" applyBorder="1" applyAlignment="1">
      <alignment horizontal="center" vertical="center"/>
    </xf>
    <xf numFmtId="0" fontId="34" fillId="3" borderId="114" xfId="1" applyFont="1" applyFill="1" applyBorder="1" applyAlignment="1">
      <alignment horizontal="center" vertical="center" wrapText="1"/>
    </xf>
    <xf numFmtId="0" fontId="34" fillId="3" borderId="129" xfId="1" applyFont="1" applyFill="1" applyBorder="1" applyAlignment="1">
      <alignment horizontal="center" vertical="center" wrapText="1"/>
    </xf>
    <xf numFmtId="0" fontId="32" fillId="0" borderId="120" xfId="1" applyFont="1" applyBorder="1" applyAlignment="1">
      <alignment horizontal="center" vertical="center" wrapText="1"/>
    </xf>
    <xf numFmtId="0" fontId="32" fillId="0" borderId="11" xfId="1" applyFont="1" applyBorder="1" applyAlignment="1">
      <alignment horizontal="center" vertical="center"/>
    </xf>
    <xf numFmtId="0" fontId="32" fillId="0" borderId="12" xfId="1" applyFont="1" applyBorder="1" applyAlignment="1">
      <alignment horizontal="center" vertical="center"/>
    </xf>
    <xf numFmtId="0" fontId="36" fillId="0" borderId="119" xfId="1" applyFont="1" applyFill="1" applyBorder="1" applyAlignment="1">
      <alignment horizontal="center" vertical="center"/>
    </xf>
    <xf numFmtId="0" fontId="36" fillId="0" borderId="118" xfId="1" applyFont="1" applyFill="1" applyBorder="1" applyAlignment="1">
      <alignment horizontal="center" vertical="center"/>
    </xf>
    <xf numFmtId="0" fontId="36" fillId="0" borderId="79" xfId="1" applyFont="1" applyFill="1" applyBorder="1" applyAlignment="1">
      <alignment horizontal="center" vertical="center"/>
    </xf>
    <xf numFmtId="0" fontId="34" fillId="3" borderId="60" xfId="1" applyFont="1" applyFill="1" applyBorder="1" applyAlignment="1">
      <alignment horizontal="center" vertical="center" wrapText="1"/>
    </xf>
    <xf numFmtId="0" fontId="34" fillId="3" borderId="48" xfId="1" applyFont="1" applyFill="1" applyBorder="1" applyAlignment="1">
      <alignment horizontal="center" vertical="center" wrapText="1"/>
    </xf>
    <xf numFmtId="0" fontId="34" fillId="3" borderId="70" xfId="1" applyFont="1" applyFill="1" applyBorder="1" applyAlignment="1">
      <alignment horizontal="center" vertical="center" wrapText="1"/>
    </xf>
    <xf numFmtId="0" fontId="32" fillId="3" borderId="116" xfId="1" applyFont="1" applyFill="1" applyBorder="1" applyAlignment="1">
      <alignment horizontal="center" vertical="center"/>
    </xf>
    <xf numFmtId="0" fontId="32" fillId="3" borderId="36" xfId="1" applyFont="1" applyFill="1" applyBorder="1" applyAlignment="1">
      <alignment horizontal="center" vertical="center"/>
    </xf>
    <xf numFmtId="0" fontId="44" fillId="0" borderId="48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/>
    </xf>
    <xf numFmtId="0" fontId="43" fillId="0" borderId="50" xfId="0" applyFont="1" applyBorder="1" applyAlignment="1">
      <alignment horizontal="center" vertical="center"/>
    </xf>
    <xf numFmtId="0" fontId="43" fillId="0" borderId="117" xfId="0" applyFont="1" applyBorder="1" applyAlignment="1">
      <alignment horizontal="center" vertical="center"/>
    </xf>
    <xf numFmtId="0" fontId="43" fillId="0" borderId="116" xfId="0" applyFont="1" applyBorder="1" applyAlignment="1">
      <alignment horizontal="center" vertical="center"/>
    </xf>
    <xf numFmtId="0" fontId="43" fillId="0" borderId="48" xfId="0" applyFont="1" applyBorder="1" applyAlignment="1">
      <alignment horizontal="center" vertical="center"/>
    </xf>
    <xf numFmtId="0" fontId="43" fillId="0" borderId="70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/>
    </xf>
    <xf numFmtId="0" fontId="44" fillId="0" borderId="132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82" xfId="0" applyFont="1" applyBorder="1" applyAlignment="1">
      <alignment horizontal="center" vertical="center"/>
    </xf>
    <xf numFmtId="0" fontId="44" fillId="0" borderId="62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20" fillId="0" borderId="28" xfId="1" applyBorder="1" applyAlignment="1">
      <alignment horizontal="center"/>
    </xf>
    <xf numFmtId="0" fontId="20" fillId="0" borderId="118" xfId="1" applyBorder="1" applyAlignment="1">
      <alignment horizontal="center"/>
    </xf>
    <xf numFmtId="0" fontId="20" fillId="0" borderId="79" xfId="1" applyBorder="1" applyAlignment="1">
      <alignment horizontal="center"/>
    </xf>
    <xf numFmtId="0" fontId="20" fillId="0" borderId="25" xfId="1" applyBorder="1" applyAlignment="1">
      <alignment horizontal="center"/>
    </xf>
    <xf numFmtId="0" fontId="43" fillId="0" borderId="3" xfId="0" applyFont="1" applyBorder="1" applyAlignment="1">
      <alignment horizontal="center" vertical="center"/>
    </xf>
    <xf numFmtId="0" fontId="43" fillId="0" borderId="81" xfId="0" applyFont="1" applyBorder="1" applyAlignment="1">
      <alignment horizontal="center" vertical="center"/>
    </xf>
    <xf numFmtId="0" fontId="43" fillId="0" borderId="131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82" xfId="0" applyFont="1" applyBorder="1" applyAlignment="1">
      <alignment horizontal="center" vertical="center"/>
    </xf>
    <xf numFmtId="0" fontId="43" fillId="0" borderId="62" xfId="0" applyFont="1" applyBorder="1" applyAlignment="1">
      <alignment horizontal="center" vertical="center"/>
    </xf>
    <xf numFmtId="0" fontId="20" fillId="0" borderId="50" xfId="1" applyBorder="1" applyAlignment="1">
      <alignment horizontal="center"/>
    </xf>
    <xf numFmtId="0" fontId="20" fillId="0" borderId="117" xfId="1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1" xfId="0" applyBorder="1" applyAlignment="1">
      <alignment horizontal="center"/>
    </xf>
    <xf numFmtId="0" fontId="53" fillId="0" borderId="185" xfId="4" applyBorder="1" applyAlignment="1">
      <alignment horizontal="center"/>
    </xf>
    <xf numFmtId="0" fontId="53" fillId="0" borderId="184" xfId="4" applyBorder="1" applyAlignment="1">
      <alignment horizontal="center"/>
    </xf>
  </cellXfs>
  <cellStyles count="5">
    <cellStyle name="ハイパーリンク" xfId="4" builtinId="8"/>
    <cellStyle name="標準" xfId="0" builtinId="0"/>
    <cellStyle name="標準 2" xfId="1"/>
    <cellStyle name="標準 2 3" xfId="3"/>
    <cellStyle name="標準 3" xfId="2"/>
  </cellStyles>
  <dxfs count="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9C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qr.quel.jp/om.php?ds=pfyb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28575</xdr:rowOff>
        </xdr:from>
        <xdr:to>
          <xdr:col>4</xdr:col>
          <xdr:colOff>628650</xdr:colOff>
          <xdr:row>3</xdr:row>
          <xdr:rowOff>200025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28575</xdr:rowOff>
        </xdr:from>
        <xdr:to>
          <xdr:col>5</xdr:col>
          <xdr:colOff>628650</xdr:colOff>
          <xdr:row>3</xdr:row>
          <xdr:rowOff>200025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無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566389</xdr:colOff>
      <xdr:row>2</xdr:row>
      <xdr:rowOff>53687</xdr:rowOff>
    </xdr:from>
    <xdr:to>
      <xdr:col>17</xdr:col>
      <xdr:colOff>544164</xdr:colOff>
      <xdr:row>5</xdr:row>
      <xdr:rowOff>106466</xdr:rowOff>
    </xdr:to>
    <xdr:grpSp>
      <xdr:nvGrpSpPr>
        <xdr:cNvPr id="102" name="Group 103"/>
        <xdr:cNvGrpSpPr>
          <a:grpSpLocks/>
        </xdr:cNvGrpSpPr>
      </xdr:nvGrpSpPr>
      <xdr:grpSpPr bwMode="auto">
        <a:xfrm>
          <a:off x="11010172" y="424572"/>
          <a:ext cx="660541" cy="693398"/>
          <a:chOff x="1251" y="45"/>
          <a:chExt cx="61" cy="72"/>
        </a:xfrm>
      </xdr:grpSpPr>
      <xdr:sp macro="" textlink="">
        <xdr:nvSpPr>
          <xdr:cNvPr id="103" name="Oval 6"/>
          <xdr:cNvSpPr>
            <a:spLocks noChangeArrowheads="1"/>
          </xdr:cNvSpPr>
        </xdr:nvSpPr>
        <xdr:spPr bwMode="auto">
          <a:xfrm>
            <a:off x="1262" y="55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04" name="Text Box 3"/>
          <xdr:cNvSpPr txBox="1">
            <a:spLocks noChangeArrowheads="1"/>
          </xdr:cNvSpPr>
        </xdr:nvSpPr>
        <xdr:spPr bwMode="auto">
          <a:xfrm>
            <a:off x="1251" y="45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桾</a:t>
            </a:r>
          </a:p>
        </xdr:txBody>
      </xdr:sp>
      <xdr:sp macro="" textlink="">
        <xdr:nvSpPr>
          <xdr:cNvPr id="105" name="Text Box 4"/>
          <xdr:cNvSpPr txBox="1">
            <a:spLocks noChangeArrowheads="1"/>
          </xdr:cNvSpPr>
        </xdr:nvSpPr>
        <xdr:spPr bwMode="auto">
          <a:xfrm>
            <a:off x="1251" y="71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澤</a:t>
            </a:r>
          </a:p>
        </xdr:txBody>
      </xdr:sp>
    </xdr:grpSp>
    <xdr:clientData/>
  </xdr:twoCellAnchor>
  <xdr:twoCellAnchor>
    <xdr:from>
      <xdr:col>18</xdr:col>
      <xdr:colOff>506152</xdr:colOff>
      <xdr:row>2</xdr:row>
      <xdr:rowOff>73191</xdr:rowOff>
    </xdr:from>
    <xdr:to>
      <xdr:col>18</xdr:col>
      <xdr:colOff>1087177</xdr:colOff>
      <xdr:row>5</xdr:row>
      <xdr:rowOff>86962</xdr:rowOff>
    </xdr:to>
    <xdr:grpSp>
      <xdr:nvGrpSpPr>
        <xdr:cNvPr id="106" name="Group 107"/>
        <xdr:cNvGrpSpPr>
          <a:grpSpLocks/>
        </xdr:cNvGrpSpPr>
      </xdr:nvGrpSpPr>
      <xdr:grpSpPr bwMode="auto">
        <a:xfrm>
          <a:off x="12686351" y="444076"/>
          <a:ext cx="581025" cy="654390"/>
          <a:chOff x="1394" y="121"/>
          <a:chExt cx="61" cy="71"/>
        </a:xfrm>
      </xdr:grpSpPr>
      <xdr:sp macro="" textlink="">
        <xdr:nvSpPr>
          <xdr:cNvPr id="107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08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高</a:t>
            </a:r>
          </a:p>
        </xdr:txBody>
      </xdr:sp>
      <xdr:sp macro="" textlink="">
        <xdr:nvSpPr>
          <xdr:cNvPr id="109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野</a:t>
            </a:r>
          </a:p>
        </xdr:txBody>
      </xdr:sp>
    </xdr:grpSp>
    <xdr:clientData/>
  </xdr:twoCellAnchor>
  <xdr:twoCellAnchor>
    <xdr:from>
      <xdr:col>18</xdr:col>
      <xdr:colOff>1016312</xdr:colOff>
      <xdr:row>2</xdr:row>
      <xdr:rowOff>68428</xdr:rowOff>
    </xdr:from>
    <xdr:to>
      <xdr:col>19</xdr:col>
      <xdr:colOff>47608</xdr:colOff>
      <xdr:row>5</xdr:row>
      <xdr:rowOff>91724</xdr:rowOff>
    </xdr:to>
    <xdr:grpSp>
      <xdr:nvGrpSpPr>
        <xdr:cNvPr id="110" name="Group 106"/>
        <xdr:cNvGrpSpPr>
          <a:grpSpLocks/>
        </xdr:cNvGrpSpPr>
      </xdr:nvGrpSpPr>
      <xdr:grpSpPr bwMode="auto">
        <a:xfrm>
          <a:off x="13196511" y="439313"/>
          <a:ext cx="759283" cy="663915"/>
          <a:chOff x="1323" y="119"/>
          <a:chExt cx="61" cy="72"/>
        </a:xfrm>
      </xdr:grpSpPr>
      <xdr:sp macro="" textlink="">
        <xdr:nvSpPr>
          <xdr:cNvPr id="111" name="Oval 53"/>
          <xdr:cNvSpPr>
            <a:spLocks noChangeArrowheads="1"/>
          </xdr:cNvSpPr>
        </xdr:nvSpPr>
        <xdr:spPr bwMode="auto">
          <a:xfrm>
            <a:off x="1334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12" name="Text Box 54"/>
          <xdr:cNvSpPr txBox="1">
            <a:spLocks noChangeArrowheads="1"/>
          </xdr:cNvSpPr>
        </xdr:nvSpPr>
        <xdr:spPr bwMode="auto">
          <a:xfrm>
            <a:off x="1323" y="119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巴</a:t>
            </a:r>
          </a:p>
        </xdr:txBody>
      </xdr:sp>
      <xdr:sp macro="" textlink="">
        <xdr:nvSpPr>
          <xdr:cNvPr id="113" name="Text Box 55"/>
          <xdr:cNvSpPr txBox="1">
            <a:spLocks noChangeArrowheads="1"/>
          </xdr:cNvSpPr>
        </xdr:nvSpPr>
        <xdr:spPr bwMode="auto">
          <a:xfrm>
            <a:off x="1323" y="145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図</a:t>
            </a:r>
          </a:p>
        </xdr:txBody>
      </xdr:sp>
    </xdr:grpSp>
    <xdr:clientData/>
  </xdr:twoCellAnchor>
  <xdr:twoCellAnchor>
    <xdr:from>
      <xdr:col>17</xdr:col>
      <xdr:colOff>473299</xdr:colOff>
      <xdr:row>2</xdr:row>
      <xdr:rowOff>70923</xdr:rowOff>
    </xdr:from>
    <xdr:to>
      <xdr:col>18</xdr:col>
      <xdr:colOff>69333</xdr:colOff>
      <xdr:row>5</xdr:row>
      <xdr:rowOff>89229</xdr:rowOff>
    </xdr:to>
    <xdr:grpSp>
      <xdr:nvGrpSpPr>
        <xdr:cNvPr id="118" name="Group 107"/>
        <xdr:cNvGrpSpPr>
          <a:grpSpLocks/>
        </xdr:cNvGrpSpPr>
      </xdr:nvGrpSpPr>
      <xdr:grpSpPr bwMode="auto">
        <a:xfrm>
          <a:off x="11599848" y="441808"/>
          <a:ext cx="649684" cy="658925"/>
          <a:chOff x="1394" y="120"/>
          <a:chExt cx="61" cy="71"/>
        </a:xfrm>
      </xdr:grpSpPr>
      <xdr:sp macro="" textlink="">
        <xdr:nvSpPr>
          <xdr:cNvPr id="119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20" name="Text Box 50"/>
          <xdr:cNvSpPr txBox="1">
            <a:spLocks noChangeArrowheads="1"/>
          </xdr:cNvSpPr>
        </xdr:nvSpPr>
        <xdr:spPr bwMode="auto">
          <a:xfrm>
            <a:off x="1394" y="120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庭</a:t>
            </a:r>
          </a:p>
        </xdr:txBody>
      </xdr:sp>
      <xdr:sp macro="" textlink="">
        <xdr:nvSpPr>
          <xdr:cNvPr id="121" name="Text Box 51"/>
          <xdr:cNvSpPr txBox="1">
            <a:spLocks noChangeArrowheads="1"/>
          </xdr:cNvSpPr>
        </xdr:nvSpPr>
        <xdr:spPr bwMode="auto">
          <a:xfrm>
            <a:off x="1394" y="145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野</a:t>
            </a:r>
          </a:p>
        </xdr:txBody>
      </xdr:sp>
    </xdr:grpSp>
    <xdr:clientData/>
  </xdr:twoCellAnchor>
  <xdr:twoCellAnchor>
    <xdr:from>
      <xdr:col>18</xdr:col>
      <xdr:colOff>1558470</xdr:colOff>
      <xdr:row>2</xdr:row>
      <xdr:rowOff>73191</xdr:rowOff>
    </xdr:from>
    <xdr:to>
      <xdr:col>19</xdr:col>
      <xdr:colOff>551664</xdr:colOff>
      <xdr:row>5</xdr:row>
      <xdr:rowOff>86962</xdr:rowOff>
    </xdr:to>
    <xdr:grpSp>
      <xdr:nvGrpSpPr>
        <xdr:cNvPr id="122" name="Group 107"/>
        <xdr:cNvGrpSpPr>
          <a:grpSpLocks/>
        </xdr:cNvGrpSpPr>
      </xdr:nvGrpSpPr>
      <xdr:grpSpPr bwMode="auto">
        <a:xfrm>
          <a:off x="13738669" y="444076"/>
          <a:ext cx="721181" cy="654390"/>
          <a:chOff x="1394" y="121"/>
          <a:chExt cx="61" cy="71"/>
        </a:xfrm>
      </xdr:grpSpPr>
      <xdr:sp macro="" textlink="">
        <xdr:nvSpPr>
          <xdr:cNvPr id="123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24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早</a:t>
            </a:r>
          </a:p>
        </xdr:txBody>
      </xdr:sp>
      <xdr:sp macro="" textlink="">
        <xdr:nvSpPr>
          <xdr:cNvPr id="125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川</a:t>
            </a:r>
          </a:p>
        </xdr:txBody>
      </xdr:sp>
    </xdr:grpSp>
    <xdr:clientData/>
  </xdr:twoCellAnchor>
  <xdr:twoCellAnchor>
    <xdr:from>
      <xdr:col>17</xdr:col>
      <xdr:colOff>968286</xdr:colOff>
      <xdr:row>2</xdr:row>
      <xdr:rowOff>73191</xdr:rowOff>
    </xdr:from>
    <xdr:to>
      <xdr:col>18</xdr:col>
      <xdr:colOff>577017</xdr:colOff>
      <xdr:row>5</xdr:row>
      <xdr:rowOff>86961</xdr:rowOff>
    </xdr:to>
    <xdr:grpSp>
      <xdr:nvGrpSpPr>
        <xdr:cNvPr id="126" name="Group 107"/>
        <xdr:cNvGrpSpPr>
          <a:grpSpLocks/>
        </xdr:cNvGrpSpPr>
      </xdr:nvGrpSpPr>
      <xdr:grpSpPr bwMode="auto">
        <a:xfrm>
          <a:off x="12094835" y="444076"/>
          <a:ext cx="662381" cy="654389"/>
          <a:chOff x="1394" y="121"/>
          <a:chExt cx="61" cy="71"/>
        </a:xfrm>
      </xdr:grpSpPr>
      <xdr:sp macro="" textlink="">
        <xdr:nvSpPr>
          <xdr:cNvPr id="127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28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須</a:t>
            </a:r>
          </a:p>
        </xdr:txBody>
      </xdr:sp>
      <xdr:sp macro="" textlink="">
        <xdr:nvSpPr>
          <xdr:cNvPr id="129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貝</a:t>
            </a:r>
          </a:p>
        </xdr:txBody>
      </xdr:sp>
    </xdr:grpSp>
    <xdr:clientData/>
  </xdr:twoCellAnchor>
  <xdr:twoCellAnchor>
    <xdr:from>
      <xdr:col>19</xdr:col>
      <xdr:colOff>1408451</xdr:colOff>
      <xdr:row>2</xdr:row>
      <xdr:rowOff>157306</xdr:rowOff>
    </xdr:from>
    <xdr:to>
      <xdr:col>20</xdr:col>
      <xdr:colOff>362527</xdr:colOff>
      <xdr:row>5</xdr:row>
      <xdr:rowOff>2022</xdr:rowOff>
    </xdr:to>
    <xdr:grpSp>
      <xdr:nvGrpSpPr>
        <xdr:cNvPr id="130" name="グループ化 129"/>
        <xdr:cNvGrpSpPr/>
      </xdr:nvGrpSpPr>
      <xdr:grpSpPr>
        <a:xfrm>
          <a:off x="15316637" y="528191"/>
          <a:ext cx="682063" cy="485335"/>
          <a:chOff x="13926773" y="1537648"/>
          <a:chExt cx="538526" cy="501241"/>
        </a:xfrm>
      </xdr:grpSpPr>
      <xdr:sp macro="" textlink="">
        <xdr:nvSpPr>
          <xdr:cNvPr id="131" name="Oval 49"/>
          <xdr:cNvSpPr>
            <a:spLocks noChangeArrowheads="1"/>
          </xdr:cNvSpPr>
        </xdr:nvSpPr>
        <xdr:spPr bwMode="auto">
          <a:xfrm>
            <a:off x="14023884" y="1537648"/>
            <a:ext cx="335475" cy="50124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32" name="Text Box 50"/>
          <xdr:cNvSpPr txBox="1">
            <a:spLocks noChangeArrowheads="1"/>
          </xdr:cNvSpPr>
        </xdr:nvSpPr>
        <xdr:spPr bwMode="auto">
          <a:xfrm>
            <a:off x="13926773" y="1556212"/>
            <a:ext cx="538526" cy="464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葉</a:t>
            </a:r>
            <a:endParaRPr lang="en-US" altLang="ja-JP" sz="2000" b="1" i="0" u="none" strike="noStrike" baseline="0">
              <a:solidFill>
                <a:srgbClr val="FF0000"/>
              </a:solidFill>
              <a:latin typeface="HG正楷書体-PRO"/>
              <a:ea typeface="HG正楷書体-PRO"/>
            </a:endParaRPr>
          </a:p>
        </xdr:txBody>
      </xdr:sp>
    </xdr:grpSp>
    <xdr:clientData/>
  </xdr:twoCellAnchor>
  <xdr:twoCellAnchor>
    <xdr:from>
      <xdr:col>19</xdr:col>
      <xdr:colOff>943264</xdr:colOff>
      <xdr:row>2</xdr:row>
      <xdr:rowOff>78407</xdr:rowOff>
    </xdr:from>
    <xdr:to>
      <xdr:col>19</xdr:col>
      <xdr:colOff>1479317</xdr:colOff>
      <xdr:row>5</xdr:row>
      <xdr:rowOff>81746</xdr:rowOff>
    </xdr:to>
    <xdr:grpSp>
      <xdr:nvGrpSpPr>
        <xdr:cNvPr id="133" name="Group 107"/>
        <xdr:cNvGrpSpPr>
          <a:grpSpLocks/>
        </xdr:cNvGrpSpPr>
      </xdr:nvGrpSpPr>
      <xdr:grpSpPr bwMode="auto">
        <a:xfrm>
          <a:off x="14851450" y="449292"/>
          <a:ext cx="536053" cy="643958"/>
          <a:chOff x="1394" y="121"/>
          <a:chExt cx="61" cy="71"/>
        </a:xfrm>
      </xdr:grpSpPr>
      <xdr:sp macro="" textlink="">
        <xdr:nvSpPr>
          <xdr:cNvPr id="134" name="Oval 49"/>
          <xdr:cNvSpPr>
            <a:spLocks noChangeArrowheads="1"/>
          </xdr:cNvSpPr>
        </xdr:nvSpPr>
        <xdr:spPr bwMode="auto">
          <a:xfrm>
            <a:off x="1405" y="130"/>
            <a:ext cx="38" cy="5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254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135" name="Text Box 50"/>
          <xdr:cNvSpPr txBox="1">
            <a:spLocks noChangeArrowheads="1"/>
          </xdr:cNvSpPr>
        </xdr:nvSpPr>
        <xdr:spPr bwMode="auto">
          <a:xfrm>
            <a:off x="1394" y="121"/>
            <a:ext cx="61" cy="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中</a:t>
            </a:r>
            <a:endParaRPr lang="en-US" altLang="ja-JP" sz="2000" b="1" i="0" u="none" strike="noStrike" baseline="0">
              <a:solidFill>
                <a:srgbClr val="FF0000"/>
              </a:solidFill>
              <a:latin typeface="HG正楷書体-PRO"/>
              <a:ea typeface="HG正楷書体-PRO"/>
            </a:endParaRPr>
          </a:p>
        </xdr:txBody>
      </xdr:sp>
      <xdr:sp macro="" textlink="">
        <xdr:nvSpPr>
          <xdr:cNvPr id="136" name="Text Box 51"/>
          <xdr:cNvSpPr txBox="1">
            <a:spLocks noChangeArrowheads="1"/>
          </xdr:cNvSpPr>
        </xdr:nvSpPr>
        <xdr:spPr bwMode="auto">
          <a:xfrm>
            <a:off x="1394" y="146"/>
            <a:ext cx="61" cy="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vert="wordArtVertRtl" wrap="square" lIns="54864" tIns="0" rIns="54864" bIns="0" anchor="ctr" upright="1"/>
          <a:lstStyle/>
          <a:p>
            <a:pPr algn="ctr" rtl="0">
              <a:defRPr sz="1000"/>
            </a:pPr>
            <a:r>
              <a:rPr lang="ja-JP" altLang="en-US" sz="2000" b="1" i="0" u="none" strike="noStrike" baseline="0">
                <a:solidFill>
                  <a:srgbClr val="FF0000"/>
                </a:solidFill>
                <a:latin typeface="HG正楷書体-PRO"/>
                <a:ea typeface="HG正楷書体-PRO"/>
              </a:rPr>
              <a:t>島</a:t>
            </a:r>
          </a:p>
        </xdr:txBody>
      </xdr:sp>
    </xdr:grpSp>
    <xdr:clientData/>
  </xdr:twoCellAnchor>
  <xdr:twoCellAnchor>
    <xdr:from>
      <xdr:col>13</xdr:col>
      <xdr:colOff>582706</xdr:colOff>
      <xdr:row>21</xdr:row>
      <xdr:rowOff>112059</xdr:rowOff>
    </xdr:from>
    <xdr:to>
      <xdr:col>16</xdr:col>
      <xdr:colOff>35273</xdr:colOff>
      <xdr:row>27</xdr:row>
      <xdr:rowOff>1070</xdr:rowOff>
    </xdr:to>
    <xdr:grpSp>
      <xdr:nvGrpSpPr>
        <xdr:cNvPr id="35" name="グループ化 34"/>
        <xdr:cNvGrpSpPr/>
      </xdr:nvGrpSpPr>
      <xdr:grpSpPr>
        <a:xfrm>
          <a:off x="8978193" y="3964205"/>
          <a:ext cx="1500863" cy="1128104"/>
          <a:chOff x="8070273" y="5634179"/>
          <a:chExt cx="1420091" cy="1096821"/>
        </a:xfrm>
      </xdr:grpSpPr>
      <xdr:pic>
        <xdr:nvPicPr>
          <xdr:cNvPr id="36" name="図 35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89772" y="6153727"/>
            <a:ext cx="581092" cy="57727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37" name="テキスト ボックス 36"/>
          <xdr:cNvSpPr txBox="1"/>
        </xdr:nvSpPr>
        <xdr:spPr>
          <a:xfrm>
            <a:off x="8070273" y="5634179"/>
            <a:ext cx="1420091" cy="646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000"/>
              <a:t>ウェットブラストの</a:t>
            </a:r>
            <a:r>
              <a:rPr kumimoji="1" lang="en-US" altLang="ja-JP" sz="1000"/>
              <a:t/>
            </a:r>
            <a:br>
              <a:rPr kumimoji="1" lang="en-US" altLang="ja-JP" sz="1000"/>
            </a:br>
            <a:r>
              <a:rPr kumimoji="1" lang="ja-JP" altLang="en-US" sz="1000"/>
              <a:t>詳細情報はこちら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256934</xdr:colOff>
      <xdr:row>36</xdr:row>
      <xdr:rowOff>8007</xdr:rowOff>
    </xdr:from>
    <xdr:to>
      <xdr:col>12</xdr:col>
      <xdr:colOff>562696</xdr:colOff>
      <xdr:row>37</xdr:row>
      <xdr:rowOff>153683</xdr:rowOff>
    </xdr:to>
    <xdr:sp macro="" textlink="">
      <xdr:nvSpPr>
        <xdr:cNvPr id="6" name="テキスト ボックス 5"/>
        <xdr:cNvSpPr txBox="1"/>
      </xdr:nvSpPr>
      <xdr:spPr>
        <a:xfrm>
          <a:off x="5743334" y="5665857"/>
          <a:ext cx="991562" cy="317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 b="1">
              <a:solidFill>
                <a:schemeClr val="bg1"/>
              </a:solidFill>
            </a:rPr>
            <a:t>除去不可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114300</xdr:rowOff>
        </xdr:from>
        <xdr:to>
          <xdr:col>2</xdr:col>
          <xdr:colOff>9525</xdr:colOff>
          <xdr:row>9</xdr:row>
          <xdr:rowOff>47625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114300</xdr:rowOff>
        </xdr:from>
        <xdr:to>
          <xdr:col>3</xdr:col>
          <xdr:colOff>9525</xdr:colOff>
          <xdr:row>9</xdr:row>
          <xdr:rowOff>47625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114300</xdr:rowOff>
        </xdr:from>
        <xdr:to>
          <xdr:col>2</xdr:col>
          <xdr:colOff>9525</xdr:colOff>
          <xdr:row>16</xdr:row>
          <xdr:rowOff>47625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114300</xdr:rowOff>
        </xdr:from>
        <xdr:to>
          <xdr:col>3</xdr:col>
          <xdr:colOff>9525</xdr:colOff>
          <xdr:row>16</xdr:row>
          <xdr:rowOff>47625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114300</xdr:rowOff>
        </xdr:from>
        <xdr:to>
          <xdr:col>2</xdr:col>
          <xdr:colOff>9525</xdr:colOff>
          <xdr:row>23</xdr:row>
          <xdr:rowOff>47625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114300</xdr:rowOff>
        </xdr:from>
        <xdr:to>
          <xdr:col>3</xdr:col>
          <xdr:colOff>9525</xdr:colOff>
          <xdr:row>23</xdr:row>
          <xdr:rowOff>47625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114300</xdr:rowOff>
        </xdr:from>
        <xdr:to>
          <xdr:col>2</xdr:col>
          <xdr:colOff>9525</xdr:colOff>
          <xdr:row>30</xdr:row>
          <xdr:rowOff>47625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114300</xdr:rowOff>
        </xdr:from>
        <xdr:to>
          <xdr:col>3</xdr:col>
          <xdr:colOff>9525</xdr:colOff>
          <xdr:row>30</xdr:row>
          <xdr:rowOff>47625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114300</xdr:rowOff>
        </xdr:from>
        <xdr:to>
          <xdr:col>2</xdr:col>
          <xdr:colOff>9525</xdr:colOff>
          <xdr:row>37</xdr:row>
          <xdr:rowOff>47625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114300</xdr:rowOff>
        </xdr:from>
        <xdr:to>
          <xdr:col>3</xdr:col>
          <xdr:colOff>9525</xdr:colOff>
          <xdr:row>37</xdr:row>
          <xdr:rowOff>47625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7</xdr:row>
          <xdr:rowOff>114300</xdr:rowOff>
        </xdr:from>
        <xdr:to>
          <xdr:col>9</xdr:col>
          <xdr:colOff>9525</xdr:colOff>
          <xdr:row>9</xdr:row>
          <xdr:rowOff>47625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</xdr:row>
          <xdr:rowOff>114300</xdr:rowOff>
        </xdr:from>
        <xdr:to>
          <xdr:col>10</xdr:col>
          <xdr:colOff>9525</xdr:colOff>
          <xdr:row>9</xdr:row>
          <xdr:rowOff>47625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14</xdr:row>
          <xdr:rowOff>114300</xdr:rowOff>
        </xdr:from>
        <xdr:to>
          <xdr:col>9</xdr:col>
          <xdr:colOff>9525</xdr:colOff>
          <xdr:row>16</xdr:row>
          <xdr:rowOff>47625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114300</xdr:rowOff>
        </xdr:from>
        <xdr:to>
          <xdr:col>10</xdr:col>
          <xdr:colOff>9525</xdr:colOff>
          <xdr:row>16</xdr:row>
          <xdr:rowOff>47625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21</xdr:row>
          <xdr:rowOff>114300</xdr:rowOff>
        </xdr:from>
        <xdr:to>
          <xdr:col>9</xdr:col>
          <xdr:colOff>9525</xdr:colOff>
          <xdr:row>23</xdr:row>
          <xdr:rowOff>47625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114300</xdr:rowOff>
        </xdr:from>
        <xdr:to>
          <xdr:col>10</xdr:col>
          <xdr:colOff>9525</xdr:colOff>
          <xdr:row>23</xdr:row>
          <xdr:rowOff>47625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28</xdr:row>
          <xdr:rowOff>114300</xdr:rowOff>
        </xdr:from>
        <xdr:to>
          <xdr:col>9</xdr:col>
          <xdr:colOff>9525</xdr:colOff>
          <xdr:row>30</xdr:row>
          <xdr:rowOff>47625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114300</xdr:rowOff>
        </xdr:from>
        <xdr:to>
          <xdr:col>10</xdr:col>
          <xdr:colOff>9525</xdr:colOff>
          <xdr:row>30</xdr:row>
          <xdr:rowOff>47625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35</xdr:row>
          <xdr:rowOff>114300</xdr:rowOff>
        </xdr:from>
        <xdr:to>
          <xdr:col>9</xdr:col>
          <xdr:colOff>9525</xdr:colOff>
          <xdr:row>37</xdr:row>
          <xdr:rowOff>47625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114300</xdr:rowOff>
        </xdr:from>
        <xdr:to>
          <xdr:col>10</xdr:col>
          <xdr:colOff>9525</xdr:colOff>
          <xdr:row>37</xdr:row>
          <xdr:rowOff>47625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7</xdr:row>
          <xdr:rowOff>114300</xdr:rowOff>
        </xdr:from>
        <xdr:to>
          <xdr:col>16</xdr:col>
          <xdr:colOff>9525</xdr:colOff>
          <xdr:row>9</xdr:row>
          <xdr:rowOff>47625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7</xdr:row>
          <xdr:rowOff>114300</xdr:rowOff>
        </xdr:from>
        <xdr:to>
          <xdr:col>17</xdr:col>
          <xdr:colOff>9525</xdr:colOff>
          <xdr:row>9</xdr:row>
          <xdr:rowOff>47625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114300</xdr:rowOff>
        </xdr:from>
        <xdr:to>
          <xdr:col>16</xdr:col>
          <xdr:colOff>9525</xdr:colOff>
          <xdr:row>16</xdr:row>
          <xdr:rowOff>47625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14</xdr:row>
          <xdr:rowOff>114300</xdr:rowOff>
        </xdr:from>
        <xdr:to>
          <xdr:col>17</xdr:col>
          <xdr:colOff>9525</xdr:colOff>
          <xdr:row>16</xdr:row>
          <xdr:rowOff>47625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114300</xdr:rowOff>
        </xdr:from>
        <xdr:to>
          <xdr:col>16</xdr:col>
          <xdr:colOff>9525</xdr:colOff>
          <xdr:row>23</xdr:row>
          <xdr:rowOff>47625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21</xdr:row>
          <xdr:rowOff>114300</xdr:rowOff>
        </xdr:from>
        <xdr:to>
          <xdr:col>17</xdr:col>
          <xdr:colOff>9525</xdr:colOff>
          <xdr:row>23</xdr:row>
          <xdr:rowOff>47625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114300</xdr:rowOff>
        </xdr:from>
        <xdr:to>
          <xdr:col>16</xdr:col>
          <xdr:colOff>9525</xdr:colOff>
          <xdr:row>30</xdr:row>
          <xdr:rowOff>47625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28</xdr:row>
          <xdr:rowOff>114300</xdr:rowOff>
        </xdr:from>
        <xdr:to>
          <xdr:col>17</xdr:col>
          <xdr:colOff>9525</xdr:colOff>
          <xdr:row>30</xdr:row>
          <xdr:rowOff>47625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114300</xdr:rowOff>
        </xdr:from>
        <xdr:to>
          <xdr:col>16</xdr:col>
          <xdr:colOff>9525</xdr:colOff>
          <xdr:row>37</xdr:row>
          <xdr:rowOff>47625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35</xdr:row>
          <xdr:rowOff>114300</xdr:rowOff>
        </xdr:from>
        <xdr:to>
          <xdr:col>17</xdr:col>
          <xdr:colOff>9525</xdr:colOff>
          <xdr:row>37</xdr:row>
          <xdr:rowOff>47625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7</xdr:row>
          <xdr:rowOff>114300</xdr:rowOff>
        </xdr:from>
        <xdr:to>
          <xdr:col>23</xdr:col>
          <xdr:colOff>9525</xdr:colOff>
          <xdr:row>9</xdr:row>
          <xdr:rowOff>47625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7</xdr:row>
          <xdr:rowOff>114300</xdr:rowOff>
        </xdr:from>
        <xdr:to>
          <xdr:col>24</xdr:col>
          <xdr:colOff>9525</xdr:colOff>
          <xdr:row>9</xdr:row>
          <xdr:rowOff>47625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14</xdr:row>
          <xdr:rowOff>114300</xdr:rowOff>
        </xdr:from>
        <xdr:to>
          <xdr:col>23</xdr:col>
          <xdr:colOff>9525</xdr:colOff>
          <xdr:row>16</xdr:row>
          <xdr:rowOff>47625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14</xdr:row>
          <xdr:rowOff>114300</xdr:rowOff>
        </xdr:from>
        <xdr:to>
          <xdr:col>24</xdr:col>
          <xdr:colOff>9525</xdr:colOff>
          <xdr:row>16</xdr:row>
          <xdr:rowOff>47625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21</xdr:row>
          <xdr:rowOff>114300</xdr:rowOff>
        </xdr:from>
        <xdr:to>
          <xdr:col>23</xdr:col>
          <xdr:colOff>9525</xdr:colOff>
          <xdr:row>23</xdr:row>
          <xdr:rowOff>47625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21</xdr:row>
          <xdr:rowOff>114300</xdr:rowOff>
        </xdr:from>
        <xdr:to>
          <xdr:col>24</xdr:col>
          <xdr:colOff>9525</xdr:colOff>
          <xdr:row>23</xdr:row>
          <xdr:rowOff>47625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28</xdr:row>
          <xdr:rowOff>114300</xdr:rowOff>
        </xdr:from>
        <xdr:to>
          <xdr:col>23</xdr:col>
          <xdr:colOff>9525</xdr:colOff>
          <xdr:row>30</xdr:row>
          <xdr:rowOff>47625</xdr:rowOff>
        </xdr:to>
        <xdr:sp macro="" textlink="">
          <xdr:nvSpPr>
            <xdr:cNvPr id="9273" name="Check Box 57" hidden="1">
              <a:extLst>
                <a:ext uri="{63B3BB69-23CF-44E3-9099-C40C66FF867C}">
                  <a14:compatExt spid="_x0000_s9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28</xdr:row>
          <xdr:rowOff>114300</xdr:rowOff>
        </xdr:from>
        <xdr:to>
          <xdr:col>24</xdr:col>
          <xdr:colOff>9525</xdr:colOff>
          <xdr:row>30</xdr:row>
          <xdr:rowOff>47625</xdr:rowOff>
        </xdr:to>
        <xdr:sp macro="" textlink="">
          <xdr:nvSpPr>
            <xdr:cNvPr id="9274" name="Check Box 58" hidden="1">
              <a:extLst>
                <a:ext uri="{63B3BB69-23CF-44E3-9099-C40C66FF867C}">
                  <a14:compatExt spid="_x0000_s9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35</xdr:row>
          <xdr:rowOff>114300</xdr:rowOff>
        </xdr:from>
        <xdr:to>
          <xdr:col>23</xdr:col>
          <xdr:colOff>9525</xdr:colOff>
          <xdr:row>37</xdr:row>
          <xdr:rowOff>47625</xdr:rowOff>
        </xdr:to>
        <xdr:sp macro="" textlink="">
          <xdr:nvSpPr>
            <xdr:cNvPr id="9275" name="Check Box 59" hidden="1">
              <a:extLst>
                <a:ext uri="{63B3BB69-23CF-44E3-9099-C40C66FF867C}">
                  <a14:compatExt spid="_x0000_s9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35</xdr:row>
          <xdr:rowOff>114300</xdr:rowOff>
        </xdr:from>
        <xdr:to>
          <xdr:col>24</xdr:col>
          <xdr:colOff>9525</xdr:colOff>
          <xdr:row>37</xdr:row>
          <xdr:rowOff>47625</xdr:rowOff>
        </xdr:to>
        <xdr:sp macro="" textlink="">
          <xdr:nvSpPr>
            <xdr:cNvPr id="9276" name="Check Box 60" hidden="1">
              <a:extLst>
                <a:ext uri="{63B3BB69-23CF-44E3-9099-C40C66FF867C}">
                  <a14:compatExt spid="_x0000_s9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7</xdr:row>
          <xdr:rowOff>114300</xdr:rowOff>
        </xdr:from>
        <xdr:to>
          <xdr:col>30</xdr:col>
          <xdr:colOff>9525</xdr:colOff>
          <xdr:row>9</xdr:row>
          <xdr:rowOff>47625</xdr:rowOff>
        </xdr:to>
        <xdr:sp macro="" textlink="">
          <xdr:nvSpPr>
            <xdr:cNvPr id="9277" name="Check Box 61" hidden="1">
              <a:extLst>
                <a:ext uri="{63B3BB69-23CF-44E3-9099-C40C66FF867C}">
                  <a14:compatExt spid="_x0000_s9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7</xdr:row>
          <xdr:rowOff>114300</xdr:rowOff>
        </xdr:from>
        <xdr:to>
          <xdr:col>31</xdr:col>
          <xdr:colOff>9525</xdr:colOff>
          <xdr:row>9</xdr:row>
          <xdr:rowOff>47625</xdr:rowOff>
        </xdr:to>
        <xdr:sp macro="" textlink="">
          <xdr:nvSpPr>
            <xdr:cNvPr id="9278" name="Check Box 62" hidden="1">
              <a:extLst>
                <a:ext uri="{63B3BB69-23CF-44E3-9099-C40C66FF867C}">
                  <a14:compatExt spid="_x0000_s9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14</xdr:row>
          <xdr:rowOff>114300</xdr:rowOff>
        </xdr:from>
        <xdr:to>
          <xdr:col>30</xdr:col>
          <xdr:colOff>9525</xdr:colOff>
          <xdr:row>16</xdr:row>
          <xdr:rowOff>47625</xdr:rowOff>
        </xdr:to>
        <xdr:sp macro="" textlink="">
          <xdr:nvSpPr>
            <xdr:cNvPr id="9279" name="Check Box 63" hidden="1">
              <a:extLst>
                <a:ext uri="{63B3BB69-23CF-44E3-9099-C40C66FF867C}">
                  <a14:compatExt spid="_x0000_s9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14</xdr:row>
          <xdr:rowOff>114300</xdr:rowOff>
        </xdr:from>
        <xdr:to>
          <xdr:col>31</xdr:col>
          <xdr:colOff>9525</xdr:colOff>
          <xdr:row>16</xdr:row>
          <xdr:rowOff>47625</xdr:rowOff>
        </xdr:to>
        <xdr:sp macro="" textlink="">
          <xdr:nvSpPr>
            <xdr:cNvPr id="9280" name="Check Box 64" hidden="1">
              <a:extLst>
                <a:ext uri="{63B3BB69-23CF-44E3-9099-C40C66FF867C}">
                  <a14:compatExt spid="_x0000_s9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21</xdr:row>
          <xdr:rowOff>114300</xdr:rowOff>
        </xdr:from>
        <xdr:to>
          <xdr:col>30</xdr:col>
          <xdr:colOff>9525</xdr:colOff>
          <xdr:row>23</xdr:row>
          <xdr:rowOff>47625</xdr:rowOff>
        </xdr:to>
        <xdr:sp macro="" textlink="">
          <xdr:nvSpPr>
            <xdr:cNvPr id="9281" name="Check Box 65" hidden="1">
              <a:extLst>
                <a:ext uri="{63B3BB69-23CF-44E3-9099-C40C66FF867C}">
                  <a14:compatExt spid="_x0000_s9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21</xdr:row>
          <xdr:rowOff>114300</xdr:rowOff>
        </xdr:from>
        <xdr:to>
          <xdr:col>31</xdr:col>
          <xdr:colOff>9525</xdr:colOff>
          <xdr:row>23</xdr:row>
          <xdr:rowOff>47625</xdr:rowOff>
        </xdr:to>
        <xdr:sp macro="" textlink="">
          <xdr:nvSpPr>
            <xdr:cNvPr id="9282" name="Check Box 66" hidden="1">
              <a:extLst>
                <a:ext uri="{63B3BB69-23CF-44E3-9099-C40C66FF867C}">
                  <a14:compatExt spid="_x0000_s9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28</xdr:row>
          <xdr:rowOff>114300</xdr:rowOff>
        </xdr:from>
        <xdr:to>
          <xdr:col>30</xdr:col>
          <xdr:colOff>9525</xdr:colOff>
          <xdr:row>30</xdr:row>
          <xdr:rowOff>47625</xdr:rowOff>
        </xdr:to>
        <xdr:sp macro="" textlink="">
          <xdr:nvSpPr>
            <xdr:cNvPr id="9283" name="Check Box 67" hidden="1">
              <a:extLst>
                <a:ext uri="{63B3BB69-23CF-44E3-9099-C40C66FF867C}">
                  <a14:compatExt spid="_x0000_s9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28</xdr:row>
          <xdr:rowOff>114300</xdr:rowOff>
        </xdr:from>
        <xdr:to>
          <xdr:col>31</xdr:col>
          <xdr:colOff>9525</xdr:colOff>
          <xdr:row>30</xdr:row>
          <xdr:rowOff>47625</xdr:rowOff>
        </xdr:to>
        <xdr:sp macro="" textlink="">
          <xdr:nvSpPr>
            <xdr:cNvPr id="9284" name="Check Box 68" hidden="1">
              <a:extLst>
                <a:ext uri="{63B3BB69-23CF-44E3-9099-C40C66FF867C}">
                  <a14:compatExt spid="_x0000_s9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35</xdr:row>
          <xdr:rowOff>114300</xdr:rowOff>
        </xdr:from>
        <xdr:to>
          <xdr:col>30</xdr:col>
          <xdr:colOff>9525</xdr:colOff>
          <xdr:row>37</xdr:row>
          <xdr:rowOff>47625</xdr:rowOff>
        </xdr:to>
        <xdr:sp macro="" textlink="">
          <xdr:nvSpPr>
            <xdr:cNvPr id="9285" name="Check Box 69" hidden="1">
              <a:extLst>
                <a:ext uri="{63B3BB69-23CF-44E3-9099-C40C66FF867C}">
                  <a14:compatExt spid="_x0000_s9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</xdr:colOff>
          <xdr:row>35</xdr:row>
          <xdr:rowOff>114300</xdr:rowOff>
        </xdr:from>
        <xdr:to>
          <xdr:col>31</xdr:col>
          <xdr:colOff>9525</xdr:colOff>
          <xdr:row>37</xdr:row>
          <xdr:rowOff>47625</xdr:rowOff>
        </xdr:to>
        <xdr:sp macro="" textlink="">
          <xdr:nvSpPr>
            <xdr:cNvPr id="9286" name="Check Box 70" hidden="1">
              <a:extLst>
                <a:ext uri="{63B3BB69-23CF-44E3-9099-C40C66FF867C}">
                  <a14:compatExt spid="_x0000_s9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114300</xdr:rowOff>
        </xdr:from>
        <xdr:to>
          <xdr:col>2</xdr:col>
          <xdr:colOff>9525</xdr:colOff>
          <xdr:row>9</xdr:row>
          <xdr:rowOff>47625</xdr:rowOff>
        </xdr:to>
        <xdr:sp macro="" textlink="">
          <xdr:nvSpPr>
            <xdr:cNvPr id="9287" name="Check Box 71" hidden="1">
              <a:extLst>
                <a:ext uri="{63B3BB69-23CF-44E3-9099-C40C66FF867C}">
                  <a14:compatExt spid="_x0000_s9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114300</xdr:rowOff>
        </xdr:from>
        <xdr:to>
          <xdr:col>3</xdr:col>
          <xdr:colOff>9525</xdr:colOff>
          <xdr:row>9</xdr:row>
          <xdr:rowOff>47625</xdr:rowOff>
        </xdr:to>
        <xdr:sp macro="" textlink="">
          <xdr:nvSpPr>
            <xdr:cNvPr id="9288" name="Check Box 72" hidden="1">
              <a:extLst>
                <a:ext uri="{63B3BB69-23CF-44E3-9099-C40C66FF867C}">
                  <a14:compatExt spid="_x0000_s9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114300</xdr:rowOff>
        </xdr:from>
        <xdr:to>
          <xdr:col>2</xdr:col>
          <xdr:colOff>9525</xdr:colOff>
          <xdr:row>16</xdr:row>
          <xdr:rowOff>47625</xdr:rowOff>
        </xdr:to>
        <xdr:sp macro="" textlink="">
          <xdr:nvSpPr>
            <xdr:cNvPr id="9289" name="Check Box 73" hidden="1">
              <a:extLst>
                <a:ext uri="{63B3BB69-23CF-44E3-9099-C40C66FF867C}">
                  <a14:compatExt spid="_x0000_s9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114300</xdr:rowOff>
        </xdr:from>
        <xdr:to>
          <xdr:col>3</xdr:col>
          <xdr:colOff>9525</xdr:colOff>
          <xdr:row>16</xdr:row>
          <xdr:rowOff>47625</xdr:rowOff>
        </xdr:to>
        <xdr:sp macro="" textlink="">
          <xdr:nvSpPr>
            <xdr:cNvPr id="9290" name="Check Box 74" hidden="1">
              <a:extLst>
                <a:ext uri="{63B3BB69-23CF-44E3-9099-C40C66FF867C}">
                  <a14:compatExt spid="_x0000_s9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114300</xdr:rowOff>
        </xdr:from>
        <xdr:to>
          <xdr:col>2</xdr:col>
          <xdr:colOff>9525</xdr:colOff>
          <xdr:row>23</xdr:row>
          <xdr:rowOff>47625</xdr:rowOff>
        </xdr:to>
        <xdr:sp macro="" textlink="">
          <xdr:nvSpPr>
            <xdr:cNvPr id="9291" name="Check Box 75" hidden="1">
              <a:extLst>
                <a:ext uri="{63B3BB69-23CF-44E3-9099-C40C66FF867C}">
                  <a14:compatExt spid="_x0000_s9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114300</xdr:rowOff>
        </xdr:from>
        <xdr:to>
          <xdr:col>3</xdr:col>
          <xdr:colOff>9525</xdr:colOff>
          <xdr:row>23</xdr:row>
          <xdr:rowOff>47625</xdr:rowOff>
        </xdr:to>
        <xdr:sp macro="" textlink="">
          <xdr:nvSpPr>
            <xdr:cNvPr id="9292" name="Check Box 76" hidden="1">
              <a:extLst>
                <a:ext uri="{63B3BB69-23CF-44E3-9099-C40C66FF867C}">
                  <a14:compatExt spid="_x0000_s9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114300</xdr:rowOff>
        </xdr:from>
        <xdr:to>
          <xdr:col>2</xdr:col>
          <xdr:colOff>9525</xdr:colOff>
          <xdr:row>30</xdr:row>
          <xdr:rowOff>47625</xdr:rowOff>
        </xdr:to>
        <xdr:sp macro="" textlink="">
          <xdr:nvSpPr>
            <xdr:cNvPr id="9293" name="Check Box 77" hidden="1">
              <a:extLst>
                <a:ext uri="{63B3BB69-23CF-44E3-9099-C40C66FF867C}">
                  <a14:compatExt spid="_x0000_s9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114300</xdr:rowOff>
        </xdr:from>
        <xdr:to>
          <xdr:col>3</xdr:col>
          <xdr:colOff>9525</xdr:colOff>
          <xdr:row>30</xdr:row>
          <xdr:rowOff>47625</xdr:rowOff>
        </xdr:to>
        <xdr:sp macro="" textlink="">
          <xdr:nvSpPr>
            <xdr:cNvPr id="9294" name="Check Box 78" hidden="1">
              <a:extLst>
                <a:ext uri="{63B3BB69-23CF-44E3-9099-C40C66FF867C}">
                  <a14:compatExt spid="_x0000_s9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114300</xdr:rowOff>
        </xdr:from>
        <xdr:to>
          <xdr:col>2</xdr:col>
          <xdr:colOff>9525</xdr:colOff>
          <xdr:row>37</xdr:row>
          <xdr:rowOff>47625</xdr:rowOff>
        </xdr:to>
        <xdr:sp macro="" textlink="">
          <xdr:nvSpPr>
            <xdr:cNvPr id="9295" name="Check Box 79" hidden="1">
              <a:extLst>
                <a:ext uri="{63B3BB69-23CF-44E3-9099-C40C66FF867C}">
                  <a14:compatExt spid="_x0000_s9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114300</xdr:rowOff>
        </xdr:from>
        <xdr:to>
          <xdr:col>3</xdr:col>
          <xdr:colOff>9525</xdr:colOff>
          <xdr:row>37</xdr:row>
          <xdr:rowOff>47625</xdr:rowOff>
        </xdr:to>
        <xdr:sp macro="" textlink="">
          <xdr:nvSpPr>
            <xdr:cNvPr id="9296" name="Check Box 80" hidden="1">
              <a:extLst>
                <a:ext uri="{63B3BB69-23CF-44E3-9099-C40C66FF867C}">
                  <a14:compatExt spid="_x0000_s9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39</xdr:row>
          <xdr:rowOff>104775</xdr:rowOff>
        </xdr:from>
        <xdr:to>
          <xdr:col>5</xdr:col>
          <xdr:colOff>257175</xdr:colOff>
          <xdr:row>40</xdr:row>
          <xdr:rowOff>152400</xdr:rowOff>
        </xdr:to>
        <xdr:sp macro="" textlink="">
          <xdr:nvSpPr>
            <xdr:cNvPr id="9297" name="Button 81" hidden="1">
              <a:extLst>
                <a:ext uri="{63B3BB69-23CF-44E3-9099-C40C66FF867C}">
                  <a14:compatExt spid="_x0000_s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39</xdr:row>
          <xdr:rowOff>66675</xdr:rowOff>
        </xdr:from>
        <xdr:to>
          <xdr:col>12</xdr:col>
          <xdr:colOff>342900</xdr:colOff>
          <xdr:row>40</xdr:row>
          <xdr:rowOff>123825</xdr:rowOff>
        </xdr:to>
        <xdr:sp macro="" textlink="">
          <xdr:nvSpPr>
            <xdr:cNvPr id="9298" name="Button 82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39</xdr:row>
          <xdr:rowOff>0</xdr:rowOff>
        </xdr:from>
        <xdr:to>
          <xdr:col>19</xdr:col>
          <xdr:colOff>114300</xdr:colOff>
          <xdr:row>40</xdr:row>
          <xdr:rowOff>57150</xdr:rowOff>
        </xdr:to>
        <xdr:sp macro="" textlink="">
          <xdr:nvSpPr>
            <xdr:cNvPr id="9299" name="Button 83" hidden="1">
              <a:extLst>
                <a:ext uri="{63B3BB69-23CF-44E3-9099-C40C66FF867C}">
                  <a14:compatExt spid="_x0000_s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38</xdr:row>
          <xdr:rowOff>152400</xdr:rowOff>
        </xdr:from>
        <xdr:to>
          <xdr:col>26</xdr:col>
          <xdr:colOff>76200</xdr:colOff>
          <xdr:row>40</xdr:row>
          <xdr:rowOff>47625</xdr:rowOff>
        </xdr:to>
        <xdr:sp macro="" textlink="">
          <xdr:nvSpPr>
            <xdr:cNvPr id="9300" name="Button 84" hidden="1">
              <a:extLst>
                <a:ext uri="{63B3BB69-23CF-44E3-9099-C40C66FF867C}">
                  <a14:compatExt spid="_x0000_s9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39</xdr:row>
          <xdr:rowOff>9525</xdr:rowOff>
        </xdr:from>
        <xdr:to>
          <xdr:col>33</xdr:col>
          <xdr:colOff>66675</xdr:colOff>
          <xdr:row>40</xdr:row>
          <xdr:rowOff>66675</xdr:rowOff>
        </xdr:to>
        <xdr:sp macro="" textlink="">
          <xdr:nvSpPr>
            <xdr:cNvPr id="9301" name="Button 85" hidden="1">
              <a:extLst>
                <a:ext uri="{63B3BB69-23CF-44E3-9099-C40C66FF867C}">
                  <a14:compatExt spid="_x0000_s9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7</xdr:row>
          <xdr:rowOff>114300</xdr:rowOff>
        </xdr:from>
        <xdr:to>
          <xdr:col>16</xdr:col>
          <xdr:colOff>9525</xdr:colOff>
          <xdr:row>9</xdr:row>
          <xdr:rowOff>47625</xdr:rowOff>
        </xdr:to>
        <xdr:sp macro="" textlink="">
          <xdr:nvSpPr>
            <xdr:cNvPr id="9302" name="Check Box 86" hidden="1">
              <a:extLst>
                <a:ext uri="{63B3BB69-23CF-44E3-9099-C40C66FF867C}">
                  <a14:compatExt spid="_x0000_s9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7</xdr:row>
          <xdr:rowOff>114300</xdr:rowOff>
        </xdr:from>
        <xdr:to>
          <xdr:col>17</xdr:col>
          <xdr:colOff>9525</xdr:colOff>
          <xdr:row>9</xdr:row>
          <xdr:rowOff>47625</xdr:rowOff>
        </xdr:to>
        <xdr:sp macro="" textlink="">
          <xdr:nvSpPr>
            <xdr:cNvPr id="9303" name="Check Box 87" hidden="1">
              <a:extLst>
                <a:ext uri="{63B3BB69-23CF-44E3-9099-C40C66FF867C}">
                  <a14:compatExt spid="_x0000_s9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114300</xdr:rowOff>
        </xdr:from>
        <xdr:to>
          <xdr:col>16</xdr:col>
          <xdr:colOff>9525</xdr:colOff>
          <xdr:row>16</xdr:row>
          <xdr:rowOff>47625</xdr:rowOff>
        </xdr:to>
        <xdr:sp macro="" textlink="">
          <xdr:nvSpPr>
            <xdr:cNvPr id="9304" name="Check Box 88" hidden="1">
              <a:extLst>
                <a:ext uri="{63B3BB69-23CF-44E3-9099-C40C66FF867C}">
                  <a14:compatExt spid="_x0000_s9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14</xdr:row>
          <xdr:rowOff>114300</xdr:rowOff>
        </xdr:from>
        <xdr:to>
          <xdr:col>17</xdr:col>
          <xdr:colOff>9525</xdr:colOff>
          <xdr:row>16</xdr:row>
          <xdr:rowOff>47625</xdr:rowOff>
        </xdr:to>
        <xdr:sp macro="" textlink="">
          <xdr:nvSpPr>
            <xdr:cNvPr id="9305" name="Check Box 89" hidden="1">
              <a:extLst>
                <a:ext uri="{63B3BB69-23CF-44E3-9099-C40C66FF867C}">
                  <a14:compatExt spid="_x0000_s9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114300</xdr:rowOff>
        </xdr:from>
        <xdr:to>
          <xdr:col>16</xdr:col>
          <xdr:colOff>9525</xdr:colOff>
          <xdr:row>23</xdr:row>
          <xdr:rowOff>47625</xdr:rowOff>
        </xdr:to>
        <xdr:sp macro="" textlink="">
          <xdr:nvSpPr>
            <xdr:cNvPr id="9306" name="Check Box 90" hidden="1">
              <a:extLst>
                <a:ext uri="{63B3BB69-23CF-44E3-9099-C40C66FF867C}">
                  <a14:compatExt spid="_x0000_s9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21</xdr:row>
          <xdr:rowOff>114300</xdr:rowOff>
        </xdr:from>
        <xdr:to>
          <xdr:col>17</xdr:col>
          <xdr:colOff>9525</xdr:colOff>
          <xdr:row>23</xdr:row>
          <xdr:rowOff>47625</xdr:rowOff>
        </xdr:to>
        <xdr:sp macro="" textlink="">
          <xdr:nvSpPr>
            <xdr:cNvPr id="9307" name="Check Box 91" hidden="1">
              <a:extLst>
                <a:ext uri="{63B3BB69-23CF-44E3-9099-C40C66FF867C}">
                  <a14:compatExt spid="_x0000_s9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114300</xdr:rowOff>
        </xdr:from>
        <xdr:to>
          <xdr:col>16</xdr:col>
          <xdr:colOff>9525</xdr:colOff>
          <xdr:row>30</xdr:row>
          <xdr:rowOff>47625</xdr:rowOff>
        </xdr:to>
        <xdr:sp macro="" textlink="">
          <xdr:nvSpPr>
            <xdr:cNvPr id="9308" name="Check Box 92" hidden="1">
              <a:extLst>
                <a:ext uri="{63B3BB69-23CF-44E3-9099-C40C66FF867C}">
                  <a14:compatExt spid="_x0000_s9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28</xdr:row>
          <xdr:rowOff>114300</xdr:rowOff>
        </xdr:from>
        <xdr:to>
          <xdr:col>17</xdr:col>
          <xdr:colOff>9525</xdr:colOff>
          <xdr:row>30</xdr:row>
          <xdr:rowOff>47625</xdr:rowOff>
        </xdr:to>
        <xdr:sp macro="" textlink="">
          <xdr:nvSpPr>
            <xdr:cNvPr id="9309" name="Check Box 93" hidden="1">
              <a:extLst>
                <a:ext uri="{63B3BB69-23CF-44E3-9099-C40C66FF867C}">
                  <a14:compatExt spid="_x0000_s9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114300</xdr:rowOff>
        </xdr:from>
        <xdr:to>
          <xdr:col>16</xdr:col>
          <xdr:colOff>9525</xdr:colOff>
          <xdr:row>37</xdr:row>
          <xdr:rowOff>47625</xdr:rowOff>
        </xdr:to>
        <xdr:sp macro="" textlink="">
          <xdr:nvSpPr>
            <xdr:cNvPr id="9310" name="Check Box 94" hidden="1">
              <a:extLst>
                <a:ext uri="{63B3BB69-23CF-44E3-9099-C40C66FF867C}">
                  <a14:compatExt spid="_x0000_s9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35</xdr:row>
          <xdr:rowOff>114300</xdr:rowOff>
        </xdr:from>
        <xdr:to>
          <xdr:col>17</xdr:col>
          <xdr:colOff>9525</xdr:colOff>
          <xdr:row>37</xdr:row>
          <xdr:rowOff>47625</xdr:rowOff>
        </xdr:to>
        <xdr:sp macro="" textlink="">
          <xdr:nvSpPr>
            <xdr:cNvPr id="9311" name="Check Box 95" hidden="1">
              <a:extLst>
                <a:ext uri="{63B3BB69-23CF-44E3-9099-C40C66FF867C}">
                  <a14:compatExt spid="_x0000_s9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114300</xdr:rowOff>
        </xdr:from>
        <xdr:to>
          <xdr:col>2</xdr:col>
          <xdr:colOff>9525</xdr:colOff>
          <xdr:row>9</xdr:row>
          <xdr:rowOff>47625</xdr:rowOff>
        </xdr:to>
        <xdr:sp macro="" textlink="">
          <xdr:nvSpPr>
            <xdr:cNvPr id="9312" name="Check Box 96" hidden="1">
              <a:extLst>
                <a:ext uri="{63B3BB69-23CF-44E3-9099-C40C66FF867C}">
                  <a14:compatExt spid="_x0000_s9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114300</xdr:rowOff>
        </xdr:from>
        <xdr:to>
          <xdr:col>3</xdr:col>
          <xdr:colOff>9525</xdr:colOff>
          <xdr:row>9</xdr:row>
          <xdr:rowOff>47625</xdr:rowOff>
        </xdr:to>
        <xdr:sp macro="" textlink="">
          <xdr:nvSpPr>
            <xdr:cNvPr id="9313" name="Check Box 97" hidden="1">
              <a:extLst>
                <a:ext uri="{63B3BB69-23CF-44E3-9099-C40C66FF867C}">
                  <a14:compatExt spid="_x0000_s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114300</xdr:rowOff>
        </xdr:from>
        <xdr:to>
          <xdr:col>2</xdr:col>
          <xdr:colOff>9525</xdr:colOff>
          <xdr:row>16</xdr:row>
          <xdr:rowOff>47625</xdr:rowOff>
        </xdr:to>
        <xdr:sp macro="" textlink="">
          <xdr:nvSpPr>
            <xdr:cNvPr id="9314" name="Check Box 98" hidden="1">
              <a:extLst>
                <a:ext uri="{63B3BB69-23CF-44E3-9099-C40C66FF867C}">
                  <a14:compatExt spid="_x0000_s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14</xdr:row>
          <xdr:rowOff>114300</xdr:rowOff>
        </xdr:from>
        <xdr:to>
          <xdr:col>3</xdr:col>
          <xdr:colOff>9525</xdr:colOff>
          <xdr:row>16</xdr:row>
          <xdr:rowOff>47625</xdr:rowOff>
        </xdr:to>
        <xdr:sp macro="" textlink="">
          <xdr:nvSpPr>
            <xdr:cNvPr id="9315" name="Check Box 99" hidden="1">
              <a:extLst>
                <a:ext uri="{63B3BB69-23CF-44E3-9099-C40C66FF867C}">
                  <a14:compatExt spid="_x0000_s9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114300</xdr:rowOff>
        </xdr:from>
        <xdr:to>
          <xdr:col>2</xdr:col>
          <xdr:colOff>9525</xdr:colOff>
          <xdr:row>23</xdr:row>
          <xdr:rowOff>47625</xdr:rowOff>
        </xdr:to>
        <xdr:sp macro="" textlink="">
          <xdr:nvSpPr>
            <xdr:cNvPr id="9316" name="Check Box 100" hidden="1">
              <a:extLst>
                <a:ext uri="{63B3BB69-23CF-44E3-9099-C40C66FF867C}">
                  <a14:compatExt spid="_x0000_s9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114300</xdr:rowOff>
        </xdr:from>
        <xdr:to>
          <xdr:col>3</xdr:col>
          <xdr:colOff>9525</xdr:colOff>
          <xdr:row>23</xdr:row>
          <xdr:rowOff>47625</xdr:rowOff>
        </xdr:to>
        <xdr:sp macro="" textlink="">
          <xdr:nvSpPr>
            <xdr:cNvPr id="9317" name="Check Box 101" hidden="1">
              <a:extLst>
                <a:ext uri="{63B3BB69-23CF-44E3-9099-C40C66FF867C}">
                  <a14:compatExt spid="_x0000_s9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114300</xdr:rowOff>
        </xdr:from>
        <xdr:to>
          <xdr:col>2</xdr:col>
          <xdr:colOff>9525</xdr:colOff>
          <xdr:row>30</xdr:row>
          <xdr:rowOff>47625</xdr:rowOff>
        </xdr:to>
        <xdr:sp macro="" textlink="">
          <xdr:nvSpPr>
            <xdr:cNvPr id="9318" name="Check Box 102" hidden="1">
              <a:extLst>
                <a:ext uri="{63B3BB69-23CF-44E3-9099-C40C66FF867C}">
                  <a14:compatExt spid="_x0000_s9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28</xdr:row>
          <xdr:rowOff>114300</xdr:rowOff>
        </xdr:from>
        <xdr:to>
          <xdr:col>3</xdr:col>
          <xdr:colOff>9525</xdr:colOff>
          <xdr:row>30</xdr:row>
          <xdr:rowOff>47625</xdr:rowOff>
        </xdr:to>
        <xdr:sp macro="" textlink="">
          <xdr:nvSpPr>
            <xdr:cNvPr id="9319" name="Check Box 103" hidden="1">
              <a:extLst>
                <a:ext uri="{63B3BB69-23CF-44E3-9099-C40C66FF867C}">
                  <a14:compatExt spid="_x0000_s9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114300</xdr:rowOff>
        </xdr:from>
        <xdr:to>
          <xdr:col>2</xdr:col>
          <xdr:colOff>9525</xdr:colOff>
          <xdr:row>37</xdr:row>
          <xdr:rowOff>47625</xdr:rowOff>
        </xdr:to>
        <xdr:sp macro="" textlink="">
          <xdr:nvSpPr>
            <xdr:cNvPr id="9320" name="Check Box 104" hidden="1">
              <a:extLst>
                <a:ext uri="{63B3BB69-23CF-44E3-9099-C40C66FF867C}">
                  <a14:compatExt spid="_x0000_s9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35</xdr:row>
          <xdr:rowOff>114300</xdr:rowOff>
        </xdr:from>
        <xdr:to>
          <xdr:col>3</xdr:col>
          <xdr:colOff>9525</xdr:colOff>
          <xdr:row>37</xdr:row>
          <xdr:rowOff>47625</xdr:rowOff>
        </xdr:to>
        <xdr:sp macro="" textlink="">
          <xdr:nvSpPr>
            <xdr:cNvPr id="9321" name="Check Box 105" hidden="1">
              <a:extLst>
                <a:ext uri="{63B3BB69-23CF-44E3-9099-C40C66FF867C}">
                  <a14:compatExt spid="_x0000_s9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104775</xdr:rowOff>
        </xdr:from>
        <xdr:to>
          <xdr:col>4</xdr:col>
          <xdr:colOff>447675</xdr:colOff>
          <xdr:row>3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4</xdr:row>
          <xdr:rowOff>114300</xdr:rowOff>
        </xdr:from>
        <xdr:to>
          <xdr:col>4</xdr:col>
          <xdr:colOff>76200</xdr:colOff>
          <xdr:row>6</xdr:row>
          <xdr:rowOff>47625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</xdr:row>
          <xdr:rowOff>104775</xdr:rowOff>
        </xdr:from>
        <xdr:to>
          <xdr:col>4</xdr:col>
          <xdr:colOff>76200</xdr:colOff>
          <xdr:row>7</xdr:row>
          <xdr:rowOff>47625</xdr:rowOff>
        </xdr:to>
        <xdr:sp macro="" textlink="">
          <xdr:nvSpPr>
            <xdr:cNvPr id="20482" name="Check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6</xdr:row>
          <xdr:rowOff>104775</xdr:rowOff>
        </xdr:from>
        <xdr:to>
          <xdr:col>4</xdr:col>
          <xdr:colOff>76200</xdr:colOff>
          <xdr:row>8</xdr:row>
          <xdr:rowOff>47625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7</xdr:row>
          <xdr:rowOff>104775</xdr:rowOff>
        </xdr:from>
        <xdr:to>
          <xdr:col>4</xdr:col>
          <xdr:colOff>76200</xdr:colOff>
          <xdr:row>9</xdr:row>
          <xdr:rowOff>47625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8</xdr:row>
          <xdr:rowOff>104775</xdr:rowOff>
        </xdr:from>
        <xdr:to>
          <xdr:col>4</xdr:col>
          <xdr:colOff>76200</xdr:colOff>
          <xdr:row>10</xdr:row>
          <xdr:rowOff>38100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9</xdr:row>
          <xdr:rowOff>123825</xdr:rowOff>
        </xdr:from>
        <xdr:to>
          <xdr:col>4</xdr:col>
          <xdr:colOff>76200</xdr:colOff>
          <xdr:row>11</xdr:row>
          <xdr:rowOff>47625</xdr:rowOff>
        </xdr:to>
        <xdr:sp macro="" textlink="">
          <xdr:nvSpPr>
            <xdr:cNvPr id="20486" name="Check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10</xdr:row>
          <xdr:rowOff>114300</xdr:rowOff>
        </xdr:from>
        <xdr:to>
          <xdr:col>4</xdr:col>
          <xdr:colOff>76200</xdr:colOff>
          <xdr:row>12</xdr:row>
          <xdr:rowOff>47625</xdr:rowOff>
        </xdr:to>
        <xdr:sp macro="" textlink="">
          <xdr:nvSpPr>
            <xdr:cNvPr id="20487" name="Check Box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11</xdr:row>
          <xdr:rowOff>104775</xdr:rowOff>
        </xdr:from>
        <xdr:to>
          <xdr:col>4</xdr:col>
          <xdr:colOff>76200</xdr:colOff>
          <xdr:row>13</xdr:row>
          <xdr:rowOff>47625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12</xdr:row>
          <xdr:rowOff>104775</xdr:rowOff>
        </xdr:from>
        <xdr:to>
          <xdr:col>4</xdr:col>
          <xdr:colOff>76200</xdr:colOff>
          <xdr:row>14</xdr:row>
          <xdr:rowOff>38100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14</xdr:row>
          <xdr:rowOff>123825</xdr:rowOff>
        </xdr:from>
        <xdr:to>
          <xdr:col>4</xdr:col>
          <xdr:colOff>76200</xdr:colOff>
          <xdr:row>16</xdr:row>
          <xdr:rowOff>47625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15</xdr:row>
          <xdr:rowOff>114300</xdr:rowOff>
        </xdr:from>
        <xdr:to>
          <xdr:col>4</xdr:col>
          <xdr:colOff>76200</xdr:colOff>
          <xdr:row>17</xdr:row>
          <xdr:rowOff>47625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16</xdr:row>
          <xdr:rowOff>104775</xdr:rowOff>
        </xdr:from>
        <xdr:to>
          <xdr:col>4</xdr:col>
          <xdr:colOff>76200</xdr:colOff>
          <xdr:row>18</xdr:row>
          <xdr:rowOff>38100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31</xdr:row>
          <xdr:rowOff>114300</xdr:rowOff>
        </xdr:from>
        <xdr:to>
          <xdr:col>2</xdr:col>
          <xdr:colOff>76200</xdr:colOff>
          <xdr:row>33</xdr:row>
          <xdr:rowOff>38100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32</xdr:row>
          <xdr:rowOff>114300</xdr:rowOff>
        </xdr:from>
        <xdr:to>
          <xdr:col>2</xdr:col>
          <xdr:colOff>76200</xdr:colOff>
          <xdr:row>34</xdr:row>
          <xdr:rowOff>38100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33</xdr:row>
          <xdr:rowOff>104775</xdr:rowOff>
        </xdr:from>
        <xdr:to>
          <xdr:col>2</xdr:col>
          <xdr:colOff>76200</xdr:colOff>
          <xdr:row>35</xdr:row>
          <xdr:rowOff>47625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34</xdr:row>
          <xdr:rowOff>104775</xdr:rowOff>
        </xdr:from>
        <xdr:to>
          <xdr:col>2</xdr:col>
          <xdr:colOff>76200</xdr:colOff>
          <xdr:row>36</xdr:row>
          <xdr:rowOff>47625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35</xdr:row>
          <xdr:rowOff>104775</xdr:rowOff>
        </xdr:from>
        <xdr:to>
          <xdr:col>2</xdr:col>
          <xdr:colOff>76200</xdr:colOff>
          <xdr:row>37</xdr:row>
          <xdr:rowOff>38100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13</xdr:row>
          <xdr:rowOff>104775</xdr:rowOff>
        </xdr:from>
        <xdr:to>
          <xdr:col>4</xdr:col>
          <xdr:colOff>66675</xdr:colOff>
          <xdr:row>15</xdr:row>
          <xdr:rowOff>47625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17</xdr:row>
          <xdr:rowOff>123825</xdr:rowOff>
        </xdr:from>
        <xdr:to>
          <xdr:col>4</xdr:col>
          <xdr:colOff>76200</xdr:colOff>
          <xdr:row>19</xdr:row>
          <xdr:rowOff>38100</xdr:rowOff>
        </xdr:to>
        <xdr:sp macro="" textlink="">
          <xdr:nvSpPr>
            <xdr:cNvPr id="20500" name="Check Box 20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acoho.co.jp/product/JrType2.html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omments" Target="../comments1.xml"/><Relationship Id="rId2" Type="http://schemas.openxmlformats.org/officeDocument/2006/relationships/hyperlink" Target="https://www.macoho.co.jp/product/Lambda.html" TargetMode="External"/><Relationship Id="rId1" Type="http://schemas.openxmlformats.org/officeDocument/2006/relationships/hyperlink" Target="https://qr.quel.jp/om.php?ds=pfyb2" TargetMode="External"/><Relationship Id="rId6" Type="http://schemas.openxmlformats.org/officeDocument/2006/relationships/hyperlink" Target="https://www.macoho.co.jp/product/Lambda.html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www.macoho.co.jp/product/Robotto.html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acoho.co.jp/product/JrType2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76" Type="http://schemas.openxmlformats.org/officeDocument/2006/relationships/ctrlProp" Target="../ctrlProps/ctrlProp75.xml"/><Relationship Id="rId84" Type="http://schemas.openxmlformats.org/officeDocument/2006/relationships/ctrlProp" Target="../ctrlProps/ctrlProp83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66" Type="http://schemas.openxmlformats.org/officeDocument/2006/relationships/ctrlProp" Target="../ctrlProps/ctrlProp65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87" Type="http://schemas.openxmlformats.org/officeDocument/2006/relationships/ctrlProp" Target="../ctrlProps/ctrlProp86.xml"/><Relationship Id="rId5" Type="http://schemas.openxmlformats.org/officeDocument/2006/relationships/ctrlProp" Target="../ctrlProps/ctrlProp4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88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..\..\&#65403;&#65437;&#65420;&#65439;&#65433;&#65411;&#65405;&#65412;&#26989;&#21209;\&#31038;&#20869;&#29992;&#65411;&#65438;&#65392;&#65408;\&#65403;&#65437;&#65420;&#65439;&#65433;&#65411;&#65405;&#65412;&#31038;&#20869;&#29992;&#65411;&#65438;&#65392;&#65408;&#12414;&#12392;&#12417;(Ver.21.10.25)%20.xlsx" TargetMode="External"/><Relationship Id="rId5" Type="http://schemas.openxmlformats.org/officeDocument/2006/relationships/ctrlProp" Target="../ctrlProps/ctrlProp88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acoho.co.jp/product/Lambda.html" TargetMode="External"/><Relationship Id="rId13" Type="http://schemas.openxmlformats.org/officeDocument/2006/relationships/hyperlink" Target="https://www.macoho.co.jp/product/Robotto.html" TargetMode="External"/><Relationship Id="rId3" Type="http://schemas.openxmlformats.org/officeDocument/2006/relationships/hyperlink" Target="https://www.macoho.co.jp/product/JrType2.html" TargetMode="External"/><Relationship Id="rId7" Type="http://schemas.openxmlformats.org/officeDocument/2006/relationships/hyperlink" Target="https://www.macoho.co.jp/product/Lambda.html" TargetMode="External"/><Relationship Id="rId12" Type="http://schemas.openxmlformats.org/officeDocument/2006/relationships/hyperlink" Target="https://www.macoho.co.jp/product/Robotto.html" TargetMode="External"/><Relationship Id="rId2" Type="http://schemas.openxmlformats.org/officeDocument/2006/relationships/hyperlink" Target="https://www.macoho.co.jp/product/JrType2.html" TargetMode="External"/><Relationship Id="rId1" Type="http://schemas.openxmlformats.org/officeDocument/2006/relationships/hyperlink" Target="https://www.macoho.co.jp/product/Mini-PFE.html" TargetMode="External"/><Relationship Id="rId6" Type="http://schemas.openxmlformats.org/officeDocument/2006/relationships/hyperlink" Target="https://www.macoho.co.jp/product/Lambda.html" TargetMode="External"/><Relationship Id="rId11" Type="http://schemas.openxmlformats.org/officeDocument/2006/relationships/hyperlink" Target="https://www.macoho.co.jp/product/Robotto.html" TargetMode="External"/><Relationship Id="rId5" Type="http://schemas.openxmlformats.org/officeDocument/2006/relationships/hyperlink" Target="https://www.macoho.co.jp/product/Lambda.html" TargetMode="External"/><Relationship Id="rId15" Type="http://schemas.openxmlformats.org/officeDocument/2006/relationships/printerSettings" Target="../printerSettings/printerSettings7.bin"/><Relationship Id="rId10" Type="http://schemas.openxmlformats.org/officeDocument/2006/relationships/hyperlink" Target="https://www.macoho.co.jp/product/Robotto.html" TargetMode="External"/><Relationship Id="rId4" Type="http://schemas.openxmlformats.org/officeDocument/2006/relationships/hyperlink" Target="https://www.macoho.co.jp/product/JrType2.html" TargetMode="External"/><Relationship Id="rId9" Type="http://schemas.openxmlformats.org/officeDocument/2006/relationships/hyperlink" Target="https://www.macoho.co.jp/product/Robotto.html" TargetMode="External"/><Relationship Id="rId14" Type="http://schemas.openxmlformats.org/officeDocument/2006/relationships/hyperlink" Target="https://www.macoho.co.jp/product/Robotto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T34"/>
  <sheetViews>
    <sheetView tabSelected="1" topLeftCell="A14" zoomScale="113" zoomScaleNormal="70" workbookViewId="0">
      <selection activeCell="B28" sqref="B28"/>
    </sheetView>
  </sheetViews>
  <sheetFormatPr defaultColWidth="9" defaultRowHeight="13.5"/>
  <cols>
    <col min="1" max="1" width="2.625" style="2" customWidth="1"/>
    <col min="2" max="17" width="9" style="2"/>
    <col min="18" max="18" width="13.875" style="2" customWidth="1"/>
    <col min="19" max="20" width="22.625" style="2" customWidth="1"/>
    <col min="21" max="16384" width="9" style="2"/>
  </cols>
  <sheetData>
    <row r="1" spans="2:20" ht="21.95" customHeight="1">
      <c r="B1" s="500" t="s">
        <v>273</v>
      </c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0"/>
      <c r="P1" s="500"/>
    </row>
    <row r="2" spans="2:20" ht="8.1" customHeight="1" thickBot="1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2:20" ht="13.5" customHeight="1">
      <c r="B3" s="501" t="s">
        <v>0</v>
      </c>
      <c r="C3" s="503"/>
      <c r="D3" s="504"/>
      <c r="E3" s="507" t="s">
        <v>14</v>
      </c>
      <c r="F3" s="508"/>
      <c r="G3" s="1"/>
      <c r="H3" s="3"/>
      <c r="I3" s="3"/>
      <c r="J3" s="3"/>
      <c r="K3" s="3"/>
      <c r="L3" s="3"/>
      <c r="M3" s="3"/>
      <c r="N3" s="3"/>
      <c r="O3" s="225" t="s">
        <v>1</v>
      </c>
      <c r="P3" s="224" t="s">
        <v>2</v>
      </c>
    </row>
    <row r="4" spans="2:20" ht="18" customHeight="1" thickBot="1">
      <c r="B4" s="502"/>
      <c r="C4" s="505"/>
      <c r="D4" s="506"/>
      <c r="E4" s="9"/>
      <c r="F4" s="10"/>
      <c r="G4" s="1"/>
      <c r="H4" s="3"/>
      <c r="I4" s="3"/>
      <c r="J4" s="237"/>
      <c r="K4" s="3"/>
      <c r="L4" s="3"/>
      <c r="M4" s="3"/>
      <c r="N4" s="3"/>
      <c r="O4" s="223"/>
      <c r="P4" s="222"/>
    </row>
    <row r="5" spans="2:20" ht="20.100000000000001" customHeight="1" thickBot="1">
      <c r="B5" s="14" t="s">
        <v>83</v>
      </c>
      <c r="C5" s="509"/>
      <c r="D5" s="510"/>
      <c r="E5" s="511"/>
      <c r="F5" s="104" t="s">
        <v>84</v>
      </c>
      <c r="G5" s="509"/>
      <c r="H5" s="510"/>
      <c r="I5" s="512"/>
      <c r="J5" s="513" t="s">
        <v>391</v>
      </c>
      <c r="K5" s="47" t="s">
        <v>3</v>
      </c>
      <c r="L5" s="515"/>
      <c r="M5" s="516"/>
      <c r="N5" s="3"/>
      <c r="O5" s="223"/>
      <c r="P5" s="222"/>
    </row>
    <row r="6" spans="2:20" ht="20.100000000000001" customHeight="1" thickBot="1">
      <c r="B6" s="14" t="s">
        <v>4</v>
      </c>
      <c r="C6" s="517"/>
      <c r="D6" s="518"/>
      <c r="E6" s="519"/>
      <c r="F6" s="104" t="s">
        <v>84</v>
      </c>
      <c r="G6" s="517"/>
      <c r="H6" s="518"/>
      <c r="I6" s="520"/>
      <c r="J6" s="514"/>
      <c r="K6" s="8" t="s">
        <v>5</v>
      </c>
      <c r="L6" s="521"/>
      <c r="M6" s="522"/>
      <c r="N6" s="5"/>
      <c r="O6" s="221"/>
      <c r="P6" s="220"/>
    </row>
    <row r="7" spans="2:20" ht="14.25" thickBot="1">
      <c r="B7" s="6"/>
      <c r="C7" s="6"/>
      <c r="D7" s="6"/>
      <c r="E7" s="6"/>
      <c r="F7" s="6"/>
      <c r="G7" s="6"/>
      <c r="H7" s="6"/>
      <c r="I7" s="6"/>
      <c r="J7" s="6"/>
      <c r="K7" s="6"/>
      <c r="R7" s="376" t="s">
        <v>506</v>
      </c>
    </row>
    <row r="8" spans="2:20" ht="13.5" customHeight="1" thickBot="1">
      <c r="B8" s="532" t="s">
        <v>266</v>
      </c>
      <c r="C8" s="219"/>
      <c r="D8" s="219"/>
      <c r="E8" s="219"/>
      <c r="F8" s="219"/>
      <c r="G8" s="219"/>
      <c r="H8" s="219"/>
      <c r="I8" s="219"/>
      <c r="J8" s="491" t="s">
        <v>267</v>
      </c>
      <c r="K8" s="477"/>
      <c r="L8" s="476"/>
      <c r="M8" s="476"/>
      <c r="N8" s="476" t="s">
        <v>33</v>
      </c>
      <c r="O8" s="476"/>
      <c r="P8" s="218"/>
      <c r="Q8" s="48"/>
      <c r="R8" s="377" t="s">
        <v>535</v>
      </c>
      <c r="S8" s="378"/>
      <c r="T8" s="378"/>
    </row>
    <row r="9" spans="2:20" ht="13.5" customHeight="1" thickBot="1">
      <c r="B9" s="533"/>
      <c r="C9" s="244"/>
      <c r="D9" s="215"/>
      <c r="E9" s="215"/>
      <c r="F9" s="215"/>
      <c r="G9" s="215"/>
      <c r="H9" s="215"/>
      <c r="I9" s="215"/>
      <c r="J9" s="493"/>
      <c r="K9" s="535" t="s">
        <v>33</v>
      </c>
      <c r="L9" s="536"/>
      <c r="M9" s="217" t="s">
        <v>33</v>
      </c>
      <c r="N9" s="481" t="s">
        <v>33</v>
      </c>
      <c r="O9" s="481"/>
      <c r="P9" s="212"/>
      <c r="Q9" s="199"/>
      <c r="R9" s="377" t="s">
        <v>507</v>
      </c>
      <c r="S9" s="378"/>
      <c r="T9" s="378"/>
    </row>
    <row r="10" spans="2:20" ht="13.5" customHeight="1" thickBot="1">
      <c r="B10" s="533"/>
      <c r="C10" s="215"/>
      <c r="D10" s="215"/>
      <c r="E10" s="215"/>
      <c r="F10" s="215"/>
      <c r="G10" s="215"/>
      <c r="H10" s="215"/>
      <c r="I10" s="215"/>
      <c r="J10" s="216" t="s">
        <v>34</v>
      </c>
      <c r="K10" s="488"/>
      <c r="L10" s="489"/>
      <c r="M10" s="489"/>
      <c r="N10" s="489"/>
      <c r="O10" s="489"/>
      <c r="P10" s="490"/>
      <c r="Q10" s="48"/>
      <c r="R10" s="379" t="s">
        <v>508</v>
      </c>
      <c r="S10" s="380"/>
      <c r="T10" s="380"/>
    </row>
    <row r="11" spans="2:20" ht="13.5" customHeight="1">
      <c r="B11" s="533"/>
      <c r="C11" s="215"/>
      <c r="D11" s="215"/>
      <c r="E11" s="215"/>
      <c r="F11" s="215"/>
      <c r="G11" s="215"/>
      <c r="H11" s="215"/>
      <c r="I11" s="215"/>
      <c r="J11" s="491" t="s">
        <v>272</v>
      </c>
      <c r="K11" s="215"/>
      <c r="L11" s="215"/>
      <c r="M11" s="215"/>
      <c r="N11" s="215"/>
      <c r="O11" s="215"/>
      <c r="P11" s="214"/>
      <c r="Q11" s="48"/>
      <c r="R11" s="379" t="s">
        <v>509</v>
      </c>
      <c r="S11" s="380"/>
      <c r="T11" s="380"/>
    </row>
    <row r="12" spans="2:20" ht="13.5" customHeight="1">
      <c r="B12" s="533"/>
      <c r="C12" s="215"/>
      <c r="D12" s="215"/>
      <c r="E12" s="215"/>
      <c r="F12" s="215"/>
      <c r="G12" s="215"/>
      <c r="H12" s="215"/>
      <c r="I12" s="215"/>
      <c r="J12" s="492"/>
      <c r="K12" s="215"/>
      <c r="L12" s="215"/>
      <c r="M12" s="215"/>
      <c r="N12" s="215"/>
      <c r="O12" s="215"/>
      <c r="P12" s="214"/>
      <c r="Q12" s="48"/>
      <c r="R12" s="379" t="s">
        <v>12</v>
      </c>
      <c r="S12" s="380"/>
      <c r="T12" s="380"/>
    </row>
    <row r="13" spans="2:20" ht="15.95" customHeight="1" thickBot="1">
      <c r="B13" s="534"/>
      <c r="C13" s="213"/>
      <c r="D13" s="213"/>
      <c r="E13" s="213"/>
      <c r="F13" s="213"/>
      <c r="G13" s="213"/>
      <c r="H13" s="213"/>
      <c r="I13" s="213"/>
      <c r="J13" s="493"/>
      <c r="K13" s="213"/>
      <c r="L13" s="213"/>
      <c r="M13" s="213"/>
      <c r="N13" s="213"/>
      <c r="O13" s="213"/>
      <c r="P13" s="212"/>
      <c r="Q13" s="48"/>
      <c r="R13" s="379" t="s">
        <v>510</v>
      </c>
      <c r="S13" s="380"/>
      <c r="T13" s="380"/>
    </row>
    <row r="14" spans="2:20" ht="14.25" thickBot="1"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6"/>
      <c r="R14" s="379" t="s">
        <v>6</v>
      </c>
      <c r="S14" s="380"/>
      <c r="T14" s="380"/>
    </row>
    <row r="15" spans="2:20" ht="13.5" customHeight="1" thickBot="1">
      <c r="B15" s="537" t="s">
        <v>271</v>
      </c>
      <c r="C15" s="538"/>
      <c r="D15" s="201" t="s">
        <v>13</v>
      </c>
      <c r="E15" s="202" t="s">
        <v>7</v>
      </c>
      <c r="F15" s="202" t="s">
        <v>10</v>
      </c>
      <c r="G15" s="203" t="s">
        <v>8</v>
      </c>
      <c r="H15" s="202" t="s">
        <v>9</v>
      </c>
      <c r="I15" s="485" t="s">
        <v>269</v>
      </c>
      <c r="J15" s="487"/>
      <c r="K15" s="537" t="s">
        <v>270</v>
      </c>
      <c r="L15" s="486"/>
      <c r="M15" s="538"/>
      <c r="N15" s="485" t="s">
        <v>269</v>
      </c>
      <c r="O15" s="486"/>
      <c r="P15" s="487"/>
      <c r="Q15" s="6"/>
      <c r="R15" s="379" t="s">
        <v>511</v>
      </c>
      <c r="S15" s="380"/>
      <c r="T15" s="380"/>
    </row>
    <row r="16" spans="2:20" ht="14.25" thickTop="1">
      <c r="B16" s="482" t="s">
        <v>617</v>
      </c>
      <c r="C16" s="483"/>
      <c r="D16" s="204"/>
      <c r="E16" s="105" t="str">
        <f>IFERROR(VLOOKUP($D16,【変更不可】!$B$7:$E$113, 2, FALSE)&amp;"","")</f>
        <v/>
      </c>
      <c r="F16" s="105" t="str">
        <f>IFERROR(VLOOKUP($D16,【変更不可】!$B$7:$E$113, 3, FALSE)&amp;"","")</f>
        <v/>
      </c>
      <c r="G16" s="105" t="str">
        <f>IFERROR(VLOOKUP($D16,【変更不可】!$B$7:$E$113, 4, FALSE)&amp;"","")</f>
        <v/>
      </c>
      <c r="H16" s="205"/>
      <c r="I16" s="206"/>
      <c r="J16" s="207"/>
      <c r="K16" s="526" t="str">
        <f>IFERROR(VLOOKUP($B16,【変更不可】!$AI$10:$AL$41, 3, FALSE)&amp;"", "")</f>
        <v>幅広ガン1*320</v>
      </c>
      <c r="L16" s="527"/>
      <c r="M16" s="528"/>
      <c r="N16" s="497" t="str">
        <f>IFERROR(VLOOKUP($B16,【変更不可】!$AI$10:$AL$41, 4, FALSE)&amp;"", "")</f>
        <v/>
      </c>
      <c r="O16" s="498"/>
      <c r="P16" s="499"/>
      <c r="Q16" s="6"/>
      <c r="R16" s="379" t="s">
        <v>512</v>
      </c>
      <c r="S16" s="380"/>
      <c r="T16" s="380"/>
    </row>
    <row r="17" spans="2:20" ht="13.5" customHeight="1">
      <c r="B17" s="470" t="s">
        <v>618</v>
      </c>
      <c r="C17" s="484"/>
      <c r="D17" s="204"/>
      <c r="E17" s="105" t="str">
        <f>IFERROR(VLOOKUP($D17,【変更不可】!$B$7:$E$113, 2, FALSE)&amp;"","")</f>
        <v/>
      </c>
      <c r="F17" s="105" t="str">
        <f>IFERROR(VLOOKUP($D17,【変更不可】!$B$7:$E$113, 3, FALSE)&amp;"","")</f>
        <v/>
      </c>
      <c r="G17" s="105" t="str">
        <f>IFERROR(VLOOKUP($D17,【変更不可】!$B$7:$E$113, 4, FALSE)&amp;"","")</f>
        <v/>
      </c>
      <c r="H17" s="205"/>
      <c r="I17" s="206"/>
      <c r="J17" s="207"/>
      <c r="K17" s="529" t="str">
        <f>IFERROR(VLOOKUP($B17,【変更不可】!$AI$10:$AL$41, 3, FALSE)&amp;"", "")</f>
        <v>幅広ガン1*90</v>
      </c>
      <c r="L17" s="530"/>
      <c r="M17" s="531"/>
      <c r="N17" s="523" t="str">
        <f>IFERROR(VLOOKUP($B17,【変更不可】!$AI$10:$AL$41, 4, FALSE)&amp;"", "")</f>
        <v/>
      </c>
      <c r="O17" s="524"/>
      <c r="P17" s="525"/>
      <c r="R17" s="379" t="s">
        <v>513</v>
      </c>
      <c r="S17" s="380"/>
      <c r="T17" s="380"/>
    </row>
    <row r="18" spans="2:20">
      <c r="B18" s="470" t="s">
        <v>619</v>
      </c>
      <c r="C18" s="484"/>
      <c r="D18" s="204"/>
      <c r="E18" s="105" t="str">
        <f>IFERROR(VLOOKUP($D18,【変更不可】!$B$7:$E$113, 2, FALSE)&amp;"","")</f>
        <v/>
      </c>
      <c r="F18" s="105" t="str">
        <f>IFERROR(VLOOKUP($D18,【変更不可】!$B$7:$E$113, 3, FALSE)&amp;"","")</f>
        <v/>
      </c>
      <c r="G18" s="105" t="str">
        <f>IFERROR(VLOOKUP($D18,【変更不可】!$B$7:$E$113, 4, FALSE)&amp;"","")</f>
        <v/>
      </c>
      <c r="H18" s="205"/>
      <c r="I18" s="206"/>
      <c r="J18" s="207"/>
      <c r="K18" s="529" t="str">
        <f>IFERROR(VLOOKUP($B18,【変更不可】!$AI$10:$AL$41, 3, FALSE)&amp;"", "")</f>
        <v>幅広ガン1*90</v>
      </c>
      <c r="L18" s="530"/>
      <c r="M18" s="531"/>
      <c r="N18" s="523" t="str">
        <f>IFERROR(VLOOKUP($B18,【変更不可】!$AI$10:$AL$41, 4, FALSE)&amp;"", "")</f>
        <v/>
      </c>
      <c r="O18" s="524"/>
      <c r="P18" s="525"/>
      <c r="R18" s="379" t="s">
        <v>514</v>
      </c>
      <c r="S18" s="380"/>
      <c r="T18" s="380"/>
    </row>
    <row r="19" spans="2:20">
      <c r="B19" s="653" t="s">
        <v>622</v>
      </c>
      <c r="C19" s="652"/>
      <c r="D19" s="204"/>
      <c r="E19" s="105"/>
      <c r="F19" s="105"/>
      <c r="G19" s="105"/>
      <c r="H19" s="205"/>
      <c r="I19" s="206"/>
      <c r="J19" s="207"/>
      <c r="K19" s="464"/>
      <c r="L19" s="465"/>
      <c r="M19" s="466"/>
      <c r="N19" s="467"/>
      <c r="O19" s="468"/>
      <c r="P19" s="469"/>
      <c r="R19" s="461"/>
      <c r="S19" s="462"/>
      <c r="T19" s="462"/>
    </row>
    <row r="20" spans="2:20" ht="14.25" thickBot="1">
      <c r="B20" s="654" t="s">
        <v>623</v>
      </c>
      <c r="C20" s="651"/>
      <c r="D20" s="204"/>
      <c r="E20" s="105" t="str">
        <f>IFERROR(VLOOKUP($D20,【変更不可】!$B$7:$E$113, 2, FALSE)&amp;"","")</f>
        <v/>
      </c>
      <c r="F20" s="105" t="str">
        <f>IFERROR(VLOOKUP($D20,【変更不可】!$B$7:$E$113, 3, FALSE)&amp;"","")</f>
        <v/>
      </c>
      <c r="G20" s="105" t="str">
        <f>IFERROR(VLOOKUP($D20,【変更不可】!$B$7:$E$113, 4, FALSE)&amp;"","")</f>
        <v/>
      </c>
      <c r="H20" s="205"/>
      <c r="I20" s="206"/>
      <c r="J20" s="207"/>
      <c r="K20" s="494" t="str">
        <f>IFERROR(VLOOKUP($B20,【変更不可】!$AI$10:$AL$41, 3, FALSE)&amp;"", "")</f>
        <v>幅広ガン1*320</v>
      </c>
      <c r="L20" s="495"/>
      <c r="M20" s="496"/>
      <c r="N20" s="478" t="str">
        <f>IFERROR(VLOOKUP($B20,【変更不可】!$AI$10:$AL$41, 4, FALSE)&amp;"", "")</f>
        <v/>
      </c>
      <c r="O20" s="479"/>
      <c r="P20" s="480"/>
      <c r="R20" s="379" t="s">
        <v>515</v>
      </c>
      <c r="S20" s="380"/>
      <c r="T20" s="380"/>
    </row>
    <row r="21" spans="2:20">
      <c r="B21" s="455" t="s">
        <v>612</v>
      </c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R21" s="379" t="s">
        <v>516</v>
      </c>
      <c r="S21" s="380"/>
      <c r="T21" s="380"/>
    </row>
    <row r="22" spans="2:20" ht="14.25" thickBot="1">
      <c r="B22" s="210" t="s">
        <v>621</v>
      </c>
      <c r="C22" s="7"/>
      <c r="D22" s="463" t="s">
        <v>620</v>
      </c>
      <c r="E22" s="7"/>
      <c r="F22" s="7"/>
      <c r="G22" s="7"/>
      <c r="H22" s="7"/>
      <c r="R22" s="379" t="s">
        <v>517</v>
      </c>
      <c r="S22" s="380"/>
      <c r="T22" s="380"/>
    </row>
    <row r="23" spans="2:20" ht="24">
      <c r="B23" s="209" t="s">
        <v>268</v>
      </c>
      <c r="C23" s="209" t="s">
        <v>397</v>
      </c>
      <c r="D23" s="209" t="s">
        <v>399</v>
      </c>
      <c r="E23" s="209" t="s">
        <v>401</v>
      </c>
      <c r="F23" s="209" t="s">
        <v>402</v>
      </c>
      <c r="G23" s="209" t="s">
        <v>403</v>
      </c>
      <c r="H23" s="381" t="s">
        <v>519</v>
      </c>
      <c r="R23" s="379" t="s">
        <v>518</v>
      </c>
      <c r="S23" s="380"/>
      <c r="T23" s="380"/>
    </row>
    <row r="24" spans="2:20" ht="18" customHeight="1" thickBot="1">
      <c r="B24" s="208" t="s">
        <v>406</v>
      </c>
      <c r="C24" s="208" t="s">
        <v>398</v>
      </c>
      <c r="D24" s="208" t="s">
        <v>527</v>
      </c>
      <c r="E24" s="208" t="s">
        <v>405</v>
      </c>
      <c r="F24" s="208" t="s">
        <v>528</v>
      </c>
      <c r="G24" s="208" t="s">
        <v>404</v>
      </c>
      <c r="H24" s="384" t="s">
        <v>529</v>
      </c>
      <c r="R24" s="382" t="s">
        <v>520</v>
      </c>
      <c r="S24" s="383"/>
      <c r="T24" s="383"/>
    </row>
    <row r="25" spans="2:20" ht="15" thickTop="1" thickBot="1">
      <c r="B25" s="107"/>
      <c r="C25" s="107"/>
      <c r="D25" s="107"/>
      <c r="E25" s="107"/>
      <c r="F25" s="107"/>
      <c r="G25" s="107"/>
      <c r="H25" s="385"/>
    </row>
    <row r="26" spans="2:20">
      <c r="B26" s="247"/>
      <c r="C26" s="247"/>
      <c r="D26" s="247"/>
      <c r="E26" s="247"/>
      <c r="F26" s="247"/>
      <c r="G26" s="247"/>
      <c r="H26" s="247"/>
      <c r="I26" s="6"/>
    </row>
    <row r="27" spans="2:20">
      <c r="B27" s="386"/>
      <c r="C27" s="247"/>
      <c r="D27" s="247"/>
      <c r="E27" s="247"/>
      <c r="F27" s="247"/>
      <c r="G27" s="247"/>
      <c r="H27" s="247"/>
      <c r="I27" s="247"/>
      <c r="J27" s="6"/>
    </row>
    <row r="28" spans="2:20" ht="14.25" thickBot="1">
      <c r="B28" s="210" t="s">
        <v>522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2:20" ht="24">
      <c r="B29" s="471" t="s">
        <v>32</v>
      </c>
      <c r="C29" s="473" t="s">
        <v>6</v>
      </c>
      <c r="D29" s="209" t="s">
        <v>268</v>
      </c>
      <c r="E29" s="209" t="s">
        <v>397</v>
      </c>
      <c r="F29" s="209" t="s">
        <v>399</v>
      </c>
      <c r="G29" s="209" t="s">
        <v>401</v>
      </c>
      <c r="H29" s="209" t="s">
        <v>402</v>
      </c>
      <c r="I29" s="209" t="s">
        <v>403</v>
      </c>
      <c r="J29" s="209" t="s">
        <v>519</v>
      </c>
      <c r="K29" s="475" t="s">
        <v>523</v>
      </c>
      <c r="L29" s="475"/>
      <c r="M29" s="475"/>
      <c r="N29" s="209" t="s">
        <v>524</v>
      </c>
      <c r="O29" s="387" t="s">
        <v>525</v>
      </c>
      <c r="P29" s="388"/>
    </row>
    <row r="30" spans="2:20" ht="15" thickBot="1">
      <c r="B30" s="472"/>
      <c r="C30" s="474"/>
      <c r="D30" s="208" t="s">
        <v>530</v>
      </c>
      <c r="E30" s="208" t="s">
        <v>531</v>
      </c>
      <c r="F30" s="208" t="s">
        <v>400</v>
      </c>
      <c r="G30" s="208" t="s">
        <v>405</v>
      </c>
      <c r="H30" s="208" t="s">
        <v>532</v>
      </c>
      <c r="I30" s="208" t="s">
        <v>404</v>
      </c>
      <c r="J30" s="208" t="s">
        <v>521</v>
      </c>
      <c r="K30" s="208" t="s">
        <v>526</v>
      </c>
      <c r="L30" s="208" t="s">
        <v>533</v>
      </c>
      <c r="M30" s="208" t="s">
        <v>534</v>
      </c>
      <c r="N30" s="208"/>
      <c r="O30" s="389"/>
    </row>
    <row r="31" spans="2:20" ht="14.25" thickTop="1">
      <c r="B31" s="390"/>
      <c r="C31" s="391"/>
      <c r="D31" s="392"/>
      <c r="E31" s="392"/>
      <c r="F31" s="392"/>
      <c r="G31" s="392"/>
      <c r="H31" s="392"/>
      <c r="I31" s="393"/>
      <c r="J31" s="393"/>
      <c r="K31" s="393"/>
      <c r="L31" s="393"/>
      <c r="M31" s="393"/>
      <c r="N31" s="393"/>
      <c r="O31" s="394"/>
    </row>
    <row r="32" spans="2:20">
      <c r="B32" s="390"/>
      <c r="C32" s="391"/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  <c r="O32" s="395"/>
    </row>
    <row r="33" spans="2:15">
      <c r="B33" s="390"/>
      <c r="C33" s="391"/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  <c r="O33" s="395"/>
    </row>
    <row r="34" spans="2:15" ht="14.25" thickBot="1">
      <c r="B34" s="375"/>
      <c r="C34" s="8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396"/>
    </row>
  </sheetData>
  <sortState ref="B16:C19">
    <sortCondition descending="1" ref="B16"/>
  </sortState>
  <mergeCells count="39">
    <mergeCell ref="K17:M17"/>
    <mergeCell ref="K18:M18"/>
    <mergeCell ref="B8:B13"/>
    <mergeCell ref="J8:J9"/>
    <mergeCell ref="K9:L9"/>
    <mergeCell ref="B15:C15"/>
    <mergeCell ref="I15:J15"/>
    <mergeCell ref="K15:M15"/>
    <mergeCell ref="B1:P1"/>
    <mergeCell ref="B3:B4"/>
    <mergeCell ref="C3:D4"/>
    <mergeCell ref="E3:F3"/>
    <mergeCell ref="C5:E5"/>
    <mergeCell ref="G5:I5"/>
    <mergeCell ref="J5:J6"/>
    <mergeCell ref="L5:M5"/>
    <mergeCell ref="C6:E6"/>
    <mergeCell ref="G6:I6"/>
    <mergeCell ref="L6:M6"/>
    <mergeCell ref="N8:O8"/>
    <mergeCell ref="K8:M8"/>
    <mergeCell ref="N20:P20"/>
    <mergeCell ref="N9:O9"/>
    <mergeCell ref="B16:C16"/>
    <mergeCell ref="B17:C17"/>
    <mergeCell ref="B18:C18"/>
    <mergeCell ref="B20:C20"/>
    <mergeCell ref="N15:P15"/>
    <mergeCell ref="K10:P10"/>
    <mergeCell ref="J11:J13"/>
    <mergeCell ref="K20:M20"/>
    <mergeCell ref="N16:P16"/>
    <mergeCell ref="N17:P17"/>
    <mergeCell ref="N18:P18"/>
    <mergeCell ref="K16:M16"/>
    <mergeCell ref="B19:C19"/>
    <mergeCell ref="B29:B30"/>
    <mergeCell ref="C29:C30"/>
    <mergeCell ref="K29:M29"/>
  </mergeCells>
  <phoneticPr fontId="10"/>
  <dataValidations count="6">
    <dataValidation type="list" allowBlank="1" showInputMessage="1" showErrorMessage="1" promptTitle="計測機器の選択" prompt="　計測に使用した_x000a_　機器を選択" sqref="K8:M8">
      <formula1>"　,計測無し,使用機器 「VK-X1000」（ｷｰｴﾝｽ）,使用機器 「VK-9710」（ｷｰｴﾝｽ）,使用機器 「SJ-301」（ﾐﾂﾄﾖ）,使用機器 「SJ-310」（ﾐﾂﾄﾖ）"</formula1>
    </dataValidation>
    <dataValidation type="list" allowBlank="1" showInputMessage="1" showErrorMessage="1" promptTitle="防錆処理の有無の選択" prompt="　防錆処理、および、_x000a_　使用防錆剤を選択" sqref="K10:P10">
      <formula1>"　,防錆処理無し,「VP-W」（ﾈｵｽ），ﾌﾞﾗｽﾄﾀﾝｸ内投入＋ﾌﾞﾗｽﾄ処理後 浸漬,「VP-W」（ﾈｵｽ），ﾌﾞﾗｽﾄ処理後 浸漬のみ,「PK-6000」（ﾊﾟｰｶｰｺｰﾎﾟﾚｰｼｮﾝ），ﾌﾞﾗｽﾄﾀﾝｸ内投入＋ﾌﾞﾗｽﾄ処理後 浸漬,「PK-6000」（ﾊﾟｰｶｰｺｰﾎﾟﾚｰｼｮﾝ），ﾌﾞﾗｽﾄ処理後 浸漬のみ,「ｹﾐｸﾘｰﾅ576」（日本ｼｰﾋﾞｰｹﾐｶﾙ），ﾌﾞﾗｽﾄﾀﾝｸ内投入＋ﾌﾞﾗｽﾄ処理後 浸漬,「ｹﾐｸﾘｰﾅ576」（日本ｼｰﾋﾞｰｹﾐｶﾙ），ﾌﾞﾗｽﾄ処理後 浸漬のみ"</formula1>
    </dataValidation>
    <dataValidation type="list" allowBlank="1" showInputMessage="1" showErrorMessage="1" promptTitle="対物レンズの選択" prompt="　ﾚｰｻﾞｰ顕微鏡のみ_x000a_　使用ﾚﾝｽﾞ倍率選択" sqref="N8:O8">
      <formula1>"　,，対物ﾚﾝｽﾞ ： ×10,，対物ﾚﾝｽﾞ ： ×20,，対物ﾚﾝｽﾞ ： ×50,，対物ﾚﾝｽﾞ ： ×150"</formula1>
    </dataValidation>
    <dataValidation type="list" allowBlank="1" showInputMessage="1" showErrorMessage="1" promptTitle="基準長数の選択" prompt="　計測時の基準長数_x000a_　を選択" sqref="N9:O9">
      <formula1>"　,，基準長数 ： n=1,，基準長数 ： n=3,，基準長数 ： n=5"</formula1>
    </dataValidation>
    <dataValidation type="list" allowBlank="1" showInputMessage="1" showErrorMessage="1" promptTitle="ｶｯﾄｵﾌ値の選択" prompt="　計測時のｶｯﾄｵﾌ値_x000a_　を選択" sqref="M9">
      <formula1>"　,，ｶｯﾄｵﾌ無し,，λc=0.08,，λc=0.25,，λc=0.8,，λc=2.5,，λc=8"</formula1>
    </dataValidation>
    <dataValidation type="list" allowBlank="1" showInputMessage="1" showErrorMessage="1" promptTitle="表面粗さ規格の選択" prompt="　計測粗さ規格を選択" sqref="K9:L9">
      <formula1>"　,規格「JIS B 0601：1994」,規格「JIS B 0601：2001」,規格「JIS B 0601：2013」"</formula1>
    </dataValidation>
  </dataValidations>
  <hyperlinks>
    <hyperlink ref="B21" r:id="rId1" tooltip="こちら" display="装置・研磨材情報の詳細はこちら"/>
    <hyperlink ref="B16" r:id="rId2" display="https://www.macoho.co.jp/product/Lambda.html"/>
    <hyperlink ref="B17" r:id="rId3" display="https://www.macoho.co.jp/product/JrType2.html"/>
    <hyperlink ref="B18" r:id="rId4" display="https://www.macoho.co.jp/product/JrType2.html"/>
    <hyperlink ref="B19" r:id="rId5" display="https://www.macoho.co.jp/product/Robotto.html"/>
    <hyperlink ref="B20" r:id="rId6" display="https://www.macoho.co.jp/product/Lambda.html"/>
  </hyperlinks>
  <printOptions horizontalCentered="1"/>
  <pageMargins left="0.27559055118110237" right="0.19685039370078741" top="0.82677165354330717" bottom="0.19685039370078741" header="0.51181102362204722" footer="0.23622047244094491"/>
  <pageSetup paperSize="9" orientation="landscape" r:id="rId7"/>
  <headerFooter alignWithMargins="0">
    <oddHeader>&amp;R&amp;"メイリオ,ボールド"&amp;16&amp;KFF0000CONFIDENTIAL</oddHeader>
  </headerFooter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10" name="Check Box 1">
              <controlPr defaultSize="0" autoFill="0" autoLine="0" autoPict="0">
                <anchor moveWithCells="1">
                  <from>
                    <xdr:col>4</xdr:col>
                    <xdr:colOff>161925</xdr:colOff>
                    <xdr:row>3</xdr:row>
                    <xdr:rowOff>28575</xdr:rowOff>
                  </from>
                  <to>
                    <xdr:col>4</xdr:col>
                    <xdr:colOff>628650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11" name="Check Box 2">
              <controlPr defaultSize="0" autoFill="0" autoLine="0" autoPict="0">
                <anchor moveWithCells="1">
                  <from>
                    <xdr:col>5</xdr:col>
                    <xdr:colOff>161925</xdr:colOff>
                    <xdr:row>3</xdr:row>
                    <xdr:rowOff>28575</xdr:rowOff>
                  </from>
                  <to>
                    <xdr:col>5</xdr:col>
                    <xdr:colOff>628650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正式な名称ではありません">
          <x14:formula1>
            <xm:f>【変更不可】!$B$7:$B$112</xm:f>
          </x14:formula1>
          <xm:sqref>D16</xm:sqref>
        </x14:dataValidation>
        <x14:dataValidation type="list" allowBlank="1" showErrorMessage="1" errorTitle="リスト外 入力不可" error="リストに無い名称を入力の場合、3行目以降のリスト入力_x000a_ではない行をコピペして任意の名称を入力のこと">
          <x14:formula1>
            <xm:f>【変更不可】!$AI$10:$AI$41</xm:f>
          </x14:formula1>
          <xm:sqref>C16:C18 C20 B16:B20</xm:sqref>
        </x14:dataValidation>
        <x14:dataValidation type="list" allowBlank="1" showInputMessage="1" showErrorMessage="1">
          <x14:formula1>
            <xm:f>【変更不可】!$B$7:$B$112</xm:f>
          </x14:formula1>
          <xm:sqref>D17:D20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39" sqref="D38:D39"/>
    </sheetView>
  </sheetViews>
  <sheetFormatPr defaultRowHeight="13.5"/>
  <sheetData/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39" sqref="D38:D39"/>
    </sheetView>
  </sheetViews>
  <sheetFormatPr defaultRowHeight="13.5"/>
  <sheetData/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T159"/>
  <sheetViews>
    <sheetView workbookViewId="0">
      <selection activeCell="D39" sqref="D38:D39"/>
    </sheetView>
  </sheetViews>
  <sheetFormatPr defaultColWidth="9" defaultRowHeight="13.5"/>
  <cols>
    <col min="1" max="1" width="2.625" style="13" customWidth="1"/>
    <col min="2" max="19" width="7.625" style="13" customWidth="1"/>
    <col min="20" max="16384" width="9" style="13"/>
  </cols>
  <sheetData>
    <row r="2" spans="1:19" ht="21">
      <c r="A2" s="12"/>
      <c r="B2" s="539" t="s">
        <v>18</v>
      </c>
      <c r="C2" s="539"/>
      <c r="D2" s="539"/>
      <c r="E2" s="539"/>
      <c r="F2" s="539"/>
      <c r="G2" s="539"/>
      <c r="H2" s="539"/>
      <c r="I2" s="539"/>
      <c r="J2" s="539"/>
      <c r="K2" s="539"/>
      <c r="L2" s="539"/>
      <c r="M2" s="539"/>
      <c r="N2" s="539"/>
      <c r="O2" s="539"/>
      <c r="P2" s="539"/>
      <c r="Q2" s="539"/>
      <c r="R2" s="539"/>
      <c r="S2" s="539"/>
    </row>
    <row r="3" spans="1:19" s="11" customFormat="1" ht="8.1" customHeight="1" thickBot="1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</row>
    <row r="4" spans="1:19" ht="20.100000000000001" customHeight="1" thickBot="1">
      <c r="A4" s="6"/>
      <c r="B4" s="6"/>
      <c r="C4" s="6"/>
      <c r="D4" s="6"/>
      <c r="E4" s="6"/>
      <c r="F4" s="6"/>
      <c r="G4" s="6"/>
      <c r="H4" s="6"/>
      <c r="I4" s="6"/>
      <c r="M4" s="4" t="s">
        <v>0</v>
      </c>
      <c r="N4" s="540" t="s">
        <v>17</v>
      </c>
      <c r="O4" s="541"/>
      <c r="P4" s="544" t="s">
        <v>15</v>
      </c>
      <c r="Q4" s="545"/>
      <c r="R4" s="542"/>
      <c r="S4" s="543"/>
    </row>
    <row r="5" spans="1:19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9" s="16" customFormat="1">
      <c r="A6" s="15"/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9"/>
      <c r="O6" s="19"/>
      <c r="P6" s="19"/>
      <c r="Q6" s="19"/>
      <c r="R6" s="19"/>
      <c r="S6" s="19"/>
    </row>
    <row r="7" spans="1:19" s="27" customFormat="1" ht="15" customHeight="1">
      <c r="A7" s="22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s="27" customFormat="1" ht="15" customHeight="1">
      <c r="A8" s="22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s="27" customFormat="1" ht="15" customHeight="1">
      <c r="A9" s="22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s="27" customFormat="1" ht="15" customHeight="1">
      <c r="A10" s="22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s="27" customFormat="1" ht="15" customHeight="1">
      <c r="A11" s="22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s="27" customFormat="1" ht="15" customHeight="1">
      <c r="A12" s="22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</row>
    <row r="13" spans="1:19" s="27" customFormat="1" ht="15" customHeight="1">
      <c r="A13" s="22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s="27" customFormat="1" ht="15" customHeight="1">
      <c r="A14" s="22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s="27" customFormat="1" ht="15" customHeight="1">
      <c r="A15" s="22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s="27" customFormat="1" ht="15" customHeight="1">
      <c r="A16" s="22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21"/>
      <c r="S16" s="20"/>
    </row>
    <row r="17" spans="1:19" s="27" customFormat="1" ht="15" customHeight="1">
      <c r="A17" s="22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s="27" customFormat="1" ht="15" customHeight="1">
      <c r="A18" s="22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s="27" customFormat="1" ht="15" customHeight="1">
      <c r="A19" s="22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s="27" customFormat="1" ht="15" customHeight="1">
      <c r="A20" s="22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s="27" customFormat="1" ht="15" customHeight="1">
      <c r="A21" s="22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s="27" customFormat="1" ht="15" customHeight="1">
      <c r="A22" s="22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s="27" customFormat="1" ht="15" customHeight="1">
      <c r="A23" s="22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s="27" customFormat="1" ht="15" customHeight="1">
      <c r="A24" s="22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s="27" customFormat="1" ht="15" customHeight="1">
      <c r="A25" s="22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s="27" customFormat="1" ht="15" customHeight="1">
      <c r="A26" s="22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s="27" customFormat="1" ht="15" customHeight="1">
      <c r="A27" s="22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</row>
    <row r="28" spans="1:19" s="27" customFormat="1" ht="15" customHeight="1">
      <c r="A28" s="22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s="27" customFormat="1" ht="15" customHeight="1">
      <c r="A29" s="22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</row>
    <row r="30" spans="1:19" s="27" customFormat="1" ht="15" customHeight="1">
      <c r="A30" s="22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</row>
    <row r="31" spans="1:19" s="27" customFormat="1" ht="15" customHeight="1">
      <c r="A31" s="22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s="27" customFormat="1" ht="15" customHeight="1">
      <c r="A32" s="22" t="s">
        <v>16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S32" s="20"/>
    </row>
    <row r="33" spans="1:19" s="27" customFormat="1" ht="15" customHeight="1">
      <c r="A33" s="22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</row>
    <row r="34" spans="1:19" s="27" customFormat="1" ht="15" customHeight="1">
      <c r="A34" s="22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</row>
    <row r="35" spans="1:19" s="27" customFormat="1" ht="15" customHeight="1">
      <c r="A35" s="22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 s="27" customFormat="1" ht="15" customHeight="1">
      <c r="A36" s="22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4"/>
      <c r="S36" s="20"/>
    </row>
    <row r="37" spans="1:19" s="27" customFormat="1" ht="15" customHeight="1">
      <c r="A37" s="22"/>
      <c r="B37" s="22"/>
      <c r="C37" s="22"/>
      <c r="D37" s="22"/>
      <c r="E37" s="22"/>
      <c r="F37" s="22"/>
      <c r="G37" s="22"/>
      <c r="H37" s="22"/>
      <c r="I37" s="22"/>
      <c r="R37" s="28"/>
      <c r="S37" s="28"/>
    </row>
    <row r="38" spans="1:19" s="16" customFormat="1">
      <c r="A38" s="15"/>
      <c r="B38" s="15"/>
      <c r="C38" s="15"/>
      <c r="D38" s="15"/>
      <c r="E38" s="15"/>
      <c r="F38" s="15"/>
      <c r="G38" s="15"/>
      <c r="H38" s="15"/>
      <c r="I38" s="15"/>
    </row>
    <row r="39" spans="1:19" s="16" customFormat="1">
      <c r="A39" s="15"/>
      <c r="B39" s="15"/>
      <c r="C39" s="15"/>
      <c r="D39" s="15"/>
      <c r="E39" s="15"/>
      <c r="F39" s="15"/>
      <c r="G39" s="15"/>
      <c r="H39" s="15"/>
      <c r="I39" s="15"/>
      <c r="R39" s="21"/>
    </row>
    <row r="40" spans="1:19" s="16" customForma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</row>
    <row r="41" spans="1:19" s="16" customForma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</row>
    <row r="42" spans="1:19" s="16" customForma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</row>
    <row r="43" spans="1:19" s="16" customForma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</row>
    <row r="44" spans="1:19" s="16" customForma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</row>
    <row r="45" spans="1:19" s="16" customForma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</row>
    <row r="46" spans="1:19" s="16" customForma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</row>
    <row r="47" spans="1:19" s="16" customForma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</row>
    <row r="48" spans="1:19" s="16" customForma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</row>
    <row r="49" spans="1:13" s="16" customForma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</row>
    <row r="50" spans="1:13" s="16" customForma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</row>
    <row r="51" spans="1:13" s="16" customForma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</row>
    <row r="52" spans="1:13" s="16" customFormat="1">
      <c r="A52" s="23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</row>
    <row r="53" spans="1:13" s="16" customForma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</row>
    <row r="54" spans="1:13" s="16" customForma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</row>
    <row r="55" spans="1:13" s="16" customForma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</row>
    <row r="56" spans="1:13" s="16" customForma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</row>
    <row r="57" spans="1:13" s="16" customForma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</row>
    <row r="58" spans="1:13" s="16" customForma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</row>
    <row r="59" spans="1:13" s="16" customForma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</row>
    <row r="60" spans="1:13" s="16" customForma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</row>
    <row r="61" spans="1:13" s="16" customForma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</row>
    <row r="62" spans="1:13" s="16" customForma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</row>
    <row r="63" spans="1:13" s="16" customForma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</row>
    <row r="64" spans="1:13" s="16" customForma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</row>
    <row r="65" spans="1:13" s="16" customForma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</row>
    <row r="66" spans="1:13" s="16" customForma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</row>
    <row r="67" spans="1:13" s="16" customForma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</row>
    <row r="68" spans="1:13" s="16" customForma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</row>
    <row r="69" spans="1:13" s="16" customForma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</row>
    <row r="70" spans="1:13" s="16" customForma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</row>
    <row r="71" spans="1:13" s="16" customForma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</row>
    <row r="72" spans="1:13" s="16" customForma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</row>
    <row r="73" spans="1:13" s="16" customFormat="1">
      <c r="A73" s="15"/>
    </row>
    <row r="74" spans="1:13" s="16" customFormat="1">
      <c r="A74" s="15"/>
    </row>
    <row r="75" spans="1:13" s="16" customFormat="1">
      <c r="A75" s="15"/>
    </row>
    <row r="76" spans="1:13" s="16" customFormat="1"/>
    <row r="77" spans="1:13" s="16" customFormat="1"/>
    <row r="78" spans="1:13" s="16" customFormat="1"/>
    <row r="79" spans="1:13" s="16" customFormat="1"/>
    <row r="80" spans="1:13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pans="2:20" s="16" customFormat="1"/>
    <row r="146" spans="2:20" s="16" customFormat="1"/>
    <row r="147" spans="2:20" s="16" customFormat="1"/>
    <row r="148" spans="2:20" s="16" customFormat="1"/>
    <row r="149" spans="2:20" s="16" customFormat="1"/>
    <row r="150" spans="2:20" s="16" customFormat="1"/>
    <row r="151" spans="2:20" s="16" customFormat="1"/>
    <row r="152" spans="2:20" s="16" customFormat="1"/>
    <row r="153" spans="2:20" s="16" customFormat="1"/>
    <row r="154" spans="2:20" s="16" customFormat="1"/>
    <row r="155" spans="2:20" s="16" customFormat="1"/>
    <row r="156" spans="2:20" s="16" customFormat="1"/>
    <row r="157" spans="2:20" s="16" customFormat="1"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</row>
    <row r="158" spans="2:20" s="16" customFormat="1"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</row>
    <row r="159" spans="2:20" s="16" customFormat="1"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</row>
  </sheetData>
  <mergeCells count="4">
    <mergeCell ref="B2:S2"/>
    <mergeCell ref="N4:O4"/>
    <mergeCell ref="R4:S4"/>
    <mergeCell ref="P4:Q4"/>
  </mergeCells>
  <phoneticPr fontId="10"/>
  <pageMargins left="0.61" right="0.25" top="0.88" bottom="0.48" header="0.3" footer="0.2"/>
  <pageSetup paperSize="9" orientation="landscape" r:id="rId1"/>
  <headerFooter>
    <oddHeader xml:space="preserve">&amp;R&amp;"メイリオ,ボールド"&amp;16&amp;KFF0000CONFIDENTIAL 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39" sqref="D38:D39"/>
    </sheetView>
  </sheetViews>
  <sheetFormatPr defaultRowHeight="13.5"/>
  <sheetData/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I38"/>
  <sheetViews>
    <sheetView workbookViewId="0">
      <selection activeCell="D39" sqref="D38:G39"/>
    </sheetView>
  </sheetViews>
  <sheetFormatPr defaultRowHeight="13.5"/>
  <cols>
    <col min="1" max="1" width="2.625" customWidth="1"/>
    <col min="2" max="3" width="4.125" customWidth="1"/>
    <col min="4" max="7" width="6.625" customWidth="1"/>
    <col min="8" max="8" width="2.625" style="33" customWidth="1"/>
    <col min="9" max="10" width="4.125" customWidth="1"/>
    <col min="11" max="13" width="6.625" customWidth="1"/>
    <col min="14" max="14" width="6.625" style="33" customWidth="1"/>
    <col min="15" max="15" width="2.625" style="33" customWidth="1"/>
    <col min="16" max="17" width="4.125" customWidth="1"/>
    <col min="18" max="21" width="6.625" customWidth="1"/>
    <col min="22" max="22" width="2.625" customWidth="1"/>
    <col min="23" max="24" width="4.125" customWidth="1"/>
    <col min="25" max="28" width="6.625" customWidth="1"/>
    <col min="29" max="29" width="2.625" customWidth="1"/>
    <col min="30" max="31" width="4.125" customWidth="1"/>
    <col min="32" max="35" width="6.625" customWidth="1"/>
  </cols>
  <sheetData>
    <row r="2" spans="2:35" ht="13.5" customHeight="1">
      <c r="B2" s="554" t="s">
        <v>19</v>
      </c>
      <c r="C2" s="554"/>
      <c r="D2" s="554"/>
      <c r="E2" s="554"/>
      <c r="F2" s="554"/>
      <c r="G2" s="554"/>
    </row>
    <row r="3" spans="2:35" ht="13.5" customHeight="1">
      <c r="B3" s="554"/>
      <c r="C3" s="554"/>
      <c r="D3" s="554"/>
      <c r="E3" s="554"/>
      <c r="F3" s="554"/>
      <c r="G3" s="554"/>
      <c r="H3" s="32"/>
      <c r="J3" s="30"/>
      <c r="K3" s="30"/>
      <c r="L3" s="30"/>
      <c r="M3" s="30"/>
      <c r="N3" s="32"/>
      <c r="O3" s="32"/>
      <c r="Q3" s="30"/>
      <c r="R3" s="30"/>
      <c r="S3" s="30"/>
      <c r="T3" s="30"/>
      <c r="X3" s="30"/>
      <c r="Y3" s="30"/>
      <c r="Z3" s="30"/>
      <c r="AA3" s="30"/>
      <c r="AE3" s="30"/>
      <c r="AF3" s="30"/>
      <c r="AG3" s="30"/>
      <c r="AH3" s="30"/>
    </row>
    <row r="4" spans="2:35" ht="13.5" customHeight="1" thickBot="1">
      <c r="B4" s="35"/>
      <c r="C4" s="35"/>
      <c r="D4" s="31"/>
      <c r="E4" s="31"/>
      <c r="F4" s="31"/>
      <c r="G4" s="31"/>
      <c r="H4" s="32"/>
      <c r="J4" s="30"/>
      <c r="K4" s="30"/>
      <c r="L4" s="30"/>
      <c r="M4" s="30"/>
      <c r="N4" s="32"/>
      <c r="O4" s="32"/>
      <c r="Q4" s="30"/>
      <c r="R4" s="30"/>
      <c r="S4" s="30"/>
      <c r="T4" s="30"/>
      <c r="X4" s="30"/>
      <c r="Y4" s="30"/>
      <c r="Z4" s="30"/>
      <c r="AA4" s="30"/>
      <c r="AE4" s="30"/>
      <c r="AF4" s="30"/>
      <c r="AG4" s="30"/>
      <c r="AH4" s="30"/>
    </row>
    <row r="5" spans="2:35">
      <c r="B5" s="546" t="s">
        <v>26</v>
      </c>
      <c r="C5" s="547"/>
      <c r="D5" s="39"/>
      <c r="E5" s="40" t="s">
        <v>47</v>
      </c>
      <c r="F5" s="40" t="s">
        <v>48</v>
      </c>
      <c r="G5" s="49" t="s">
        <v>49</v>
      </c>
      <c r="I5" s="546" t="s">
        <v>26</v>
      </c>
      <c r="J5" s="547"/>
      <c r="K5" s="39"/>
      <c r="L5" s="40" t="s">
        <v>47</v>
      </c>
      <c r="M5" s="40" t="s">
        <v>48</v>
      </c>
      <c r="N5" s="50" t="s">
        <v>49</v>
      </c>
      <c r="P5" s="546" t="s">
        <v>26</v>
      </c>
      <c r="Q5" s="547"/>
      <c r="R5" s="39"/>
      <c r="S5" s="40" t="s">
        <v>47</v>
      </c>
      <c r="T5" s="40" t="s">
        <v>48</v>
      </c>
      <c r="U5" s="50" t="s">
        <v>49</v>
      </c>
      <c r="W5" s="546" t="s">
        <v>26</v>
      </c>
      <c r="X5" s="547"/>
      <c r="Y5" s="39"/>
      <c r="Z5" s="40" t="s">
        <v>47</v>
      </c>
      <c r="AA5" s="40" t="s">
        <v>48</v>
      </c>
      <c r="AB5" s="50" t="s">
        <v>49</v>
      </c>
      <c r="AD5" s="546" t="s">
        <v>26</v>
      </c>
      <c r="AE5" s="547"/>
      <c r="AF5" s="39"/>
      <c r="AG5" s="40" t="s">
        <v>47</v>
      </c>
      <c r="AH5" s="40" t="s">
        <v>48</v>
      </c>
      <c r="AI5" s="50" t="s">
        <v>49</v>
      </c>
    </row>
    <row r="6" spans="2:35" ht="14.25" thickBot="1">
      <c r="B6" s="548"/>
      <c r="C6" s="549"/>
      <c r="D6" s="38">
        <v>1</v>
      </c>
      <c r="E6" s="36"/>
      <c r="F6" s="36"/>
      <c r="G6" s="37"/>
      <c r="H6" s="34"/>
      <c r="I6" s="548"/>
      <c r="J6" s="549"/>
      <c r="K6" s="38">
        <v>1</v>
      </c>
      <c r="L6" s="36"/>
      <c r="M6" s="36"/>
      <c r="N6" s="37"/>
      <c r="O6" s="34"/>
      <c r="P6" s="548"/>
      <c r="Q6" s="549"/>
      <c r="R6" s="38">
        <v>1</v>
      </c>
      <c r="S6" s="36"/>
      <c r="T6" s="36"/>
      <c r="U6" s="37"/>
      <c r="W6" s="548"/>
      <c r="X6" s="549"/>
      <c r="Y6" s="38">
        <v>1</v>
      </c>
      <c r="Z6" s="36"/>
      <c r="AA6" s="36"/>
      <c r="AB6" s="37"/>
      <c r="AD6" s="548"/>
      <c r="AE6" s="549"/>
      <c r="AF6" s="38">
        <v>1</v>
      </c>
      <c r="AG6" s="36"/>
      <c r="AH6" s="36"/>
      <c r="AI6" s="37"/>
    </row>
    <row r="7" spans="2:35">
      <c r="B7" s="546" t="s">
        <v>28</v>
      </c>
      <c r="C7" s="547"/>
      <c r="D7" s="38">
        <v>2</v>
      </c>
      <c r="E7" s="36"/>
      <c r="F7" s="36"/>
      <c r="G7" s="37"/>
      <c r="H7" s="34"/>
      <c r="I7" s="546" t="s">
        <v>28</v>
      </c>
      <c r="J7" s="547"/>
      <c r="K7" s="38">
        <v>2</v>
      </c>
      <c r="L7" s="36"/>
      <c r="M7" s="36"/>
      <c r="N7" s="37"/>
      <c r="O7" s="34"/>
      <c r="P7" s="546" t="s">
        <v>28</v>
      </c>
      <c r="Q7" s="547"/>
      <c r="R7" s="38">
        <v>2</v>
      </c>
      <c r="S7" s="36"/>
      <c r="T7" s="36"/>
      <c r="U7" s="37"/>
      <c r="W7" s="546" t="s">
        <v>28</v>
      </c>
      <c r="X7" s="547"/>
      <c r="Y7" s="38">
        <v>2</v>
      </c>
      <c r="Z7" s="36"/>
      <c r="AA7" s="36"/>
      <c r="AB7" s="37"/>
      <c r="AD7" s="546" t="s">
        <v>28</v>
      </c>
      <c r="AE7" s="547"/>
      <c r="AF7" s="38">
        <v>2</v>
      </c>
      <c r="AG7" s="36"/>
      <c r="AH7" s="36"/>
      <c r="AI7" s="37"/>
    </row>
    <row r="8" spans="2:35">
      <c r="B8" s="38" t="s">
        <v>29</v>
      </c>
      <c r="C8" s="44" t="s">
        <v>30</v>
      </c>
      <c r="D8" s="38">
        <v>3</v>
      </c>
      <c r="E8" s="36"/>
      <c r="F8" s="36"/>
      <c r="G8" s="37"/>
      <c r="H8" s="34"/>
      <c r="I8" s="38" t="s">
        <v>29</v>
      </c>
      <c r="J8" s="44" t="s">
        <v>30</v>
      </c>
      <c r="K8" s="38">
        <v>3</v>
      </c>
      <c r="L8" s="36"/>
      <c r="M8" s="36"/>
      <c r="N8" s="37"/>
      <c r="O8" s="34"/>
      <c r="P8" s="38" t="s">
        <v>29</v>
      </c>
      <c r="Q8" s="44" t="s">
        <v>30</v>
      </c>
      <c r="R8" s="38">
        <v>3</v>
      </c>
      <c r="S8" s="36"/>
      <c r="T8" s="36"/>
      <c r="U8" s="37"/>
      <c r="W8" s="38" t="s">
        <v>29</v>
      </c>
      <c r="X8" s="44" t="s">
        <v>30</v>
      </c>
      <c r="Y8" s="38">
        <v>3</v>
      </c>
      <c r="Z8" s="36"/>
      <c r="AA8" s="36"/>
      <c r="AB8" s="37"/>
      <c r="AD8" s="38" t="s">
        <v>29</v>
      </c>
      <c r="AE8" s="44" t="s">
        <v>30</v>
      </c>
      <c r="AF8" s="38">
        <v>3</v>
      </c>
      <c r="AG8" s="36"/>
      <c r="AH8" s="36"/>
      <c r="AI8" s="37"/>
    </row>
    <row r="9" spans="2:35" ht="14.25" thickBot="1">
      <c r="B9" s="45"/>
      <c r="C9" s="46"/>
      <c r="D9" s="41" t="s">
        <v>27</v>
      </c>
      <c r="E9" s="42" t="e">
        <f>AVERAGE(E6:E8)</f>
        <v>#DIV/0!</v>
      </c>
      <c r="F9" s="42" t="e">
        <f>AVERAGE(F6:F8)</f>
        <v>#DIV/0!</v>
      </c>
      <c r="G9" s="43" t="e">
        <f>AVERAGE(G6:G8)</f>
        <v>#DIV/0!</v>
      </c>
      <c r="H9" s="34"/>
      <c r="I9" s="45"/>
      <c r="J9" s="46"/>
      <c r="K9" s="41" t="s">
        <v>27</v>
      </c>
      <c r="L9" s="42" t="e">
        <f>AVERAGE(L6:L8)</f>
        <v>#DIV/0!</v>
      </c>
      <c r="M9" s="42" t="e">
        <f>AVERAGE(M6:M8)</f>
        <v>#DIV/0!</v>
      </c>
      <c r="N9" s="43" t="e">
        <f>AVERAGE(N6:N8)</f>
        <v>#DIV/0!</v>
      </c>
      <c r="O9" s="34"/>
      <c r="P9" s="45"/>
      <c r="Q9" s="46"/>
      <c r="R9" s="41" t="s">
        <v>27</v>
      </c>
      <c r="S9" s="42" t="e">
        <f>AVERAGE(S6:S8)</f>
        <v>#DIV/0!</v>
      </c>
      <c r="T9" s="42" t="e">
        <f>AVERAGE(T6:T8)</f>
        <v>#DIV/0!</v>
      </c>
      <c r="U9" s="43" t="e">
        <f>AVERAGE(U6:U8)</f>
        <v>#DIV/0!</v>
      </c>
      <c r="W9" s="45"/>
      <c r="X9" s="46"/>
      <c r="Y9" s="41" t="s">
        <v>27</v>
      </c>
      <c r="Z9" s="42" t="e">
        <f>AVERAGE(Z6:Z8)</f>
        <v>#DIV/0!</v>
      </c>
      <c r="AA9" s="42" t="e">
        <f>AVERAGE(AA6:AA8)</f>
        <v>#DIV/0!</v>
      </c>
      <c r="AB9" s="43" t="e">
        <f>AVERAGE(AB6:AB8)</f>
        <v>#DIV/0!</v>
      </c>
      <c r="AD9" s="45"/>
      <c r="AE9" s="46"/>
      <c r="AF9" s="41" t="s">
        <v>27</v>
      </c>
      <c r="AG9" s="42" t="e">
        <f>AVERAGE(AG6:AG8)</f>
        <v>#DIV/0!</v>
      </c>
      <c r="AH9" s="42" t="e">
        <f>AVERAGE(AH6:AH8)</f>
        <v>#DIV/0!</v>
      </c>
      <c r="AI9" s="43" t="e">
        <f>AVERAGE(AI6:AI8)</f>
        <v>#DIV/0!</v>
      </c>
    </row>
    <row r="10" spans="2:35" ht="14.25" thickBot="1">
      <c r="B10" s="550" t="s">
        <v>25</v>
      </c>
      <c r="C10" s="551"/>
      <c r="D10" s="552"/>
      <c r="E10" s="552"/>
      <c r="F10" s="552"/>
      <c r="G10" s="553"/>
      <c r="I10" s="550" t="s">
        <v>25</v>
      </c>
      <c r="J10" s="551"/>
      <c r="K10" s="552"/>
      <c r="L10" s="552"/>
      <c r="M10" s="552"/>
      <c r="N10" s="553"/>
      <c r="P10" s="550" t="s">
        <v>25</v>
      </c>
      <c r="Q10" s="551"/>
      <c r="R10" s="552"/>
      <c r="S10" s="552"/>
      <c r="T10" s="552"/>
      <c r="U10" s="553"/>
      <c r="W10" s="550" t="s">
        <v>25</v>
      </c>
      <c r="X10" s="551"/>
      <c r="Y10" s="552"/>
      <c r="Z10" s="552"/>
      <c r="AA10" s="552"/>
      <c r="AB10" s="553"/>
      <c r="AD10" s="550" t="s">
        <v>25</v>
      </c>
      <c r="AE10" s="551"/>
      <c r="AF10" s="552"/>
      <c r="AG10" s="552"/>
      <c r="AH10" s="552"/>
      <c r="AI10" s="553"/>
    </row>
    <row r="11" spans="2:35" ht="14.25" thickBot="1">
      <c r="N11"/>
    </row>
    <row r="12" spans="2:35" ht="13.5" customHeight="1">
      <c r="B12" s="546" t="s">
        <v>26</v>
      </c>
      <c r="C12" s="547"/>
      <c r="D12" s="39"/>
      <c r="E12" s="40" t="s">
        <v>47</v>
      </c>
      <c r="F12" s="40" t="s">
        <v>48</v>
      </c>
      <c r="G12" s="50" t="s">
        <v>49</v>
      </c>
      <c r="I12" s="546" t="s">
        <v>26</v>
      </c>
      <c r="J12" s="547"/>
      <c r="K12" s="39"/>
      <c r="L12" s="40" t="s">
        <v>47</v>
      </c>
      <c r="M12" s="40" t="s">
        <v>48</v>
      </c>
      <c r="N12" s="50" t="s">
        <v>49</v>
      </c>
      <c r="P12" s="546" t="s">
        <v>26</v>
      </c>
      <c r="Q12" s="547"/>
      <c r="R12" s="39"/>
      <c r="S12" s="40" t="s">
        <v>47</v>
      </c>
      <c r="T12" s="40" t="s">
        <v>48</v>
      </c>
      <c r="U12" s="50" t="s">
        <v>49</v>
      </c>
      <c r="W12" s="546" t="s">
        <v>26</v>
      </c>
      <c r="X12" s="547"/>
      <c r="Y12" s="39"/>
      <c r="Z12" s="40" t="s">
        <v>47</v>
      </c>
      <c r="AA12" s="40" t="s">
        <v>48</v>
      </c>
      <c r="AB12" s="50" t="s">
        <v>49</v>
      </c>
      <c r="AD12" s="546" t="s">
        <v>26</v>
      </c>
      <c r="AE12" s="547"/>
      <c r="AF12" s="39"/>
      <c r="AG12" s="40" t="s">
        <v>47</v>
      </c>
      <c r="AH12" s="40" t="s">
        <v>48</v>
      </c>
      <c r="AI12" s="50" t="s">
        <v>49</v>
      </c>
    </row>
    <row r="13" spans="2:35" ht="14.25" customHeight="1" thickBot="1">
      <c r="B13" s="548"/>
      <c r="C13" s="549"/>
      <c r="D13" s="38">
        <v>1</v>
      </c>
      <c r="E13" s="36"/>
      <c r="F13" s="36"/>
      <c r="G13" s="37"/>
      <c r="H13" s="34"/>
      <c r="I13" s="548"/>
      <c r="J13" s="549"/>
      <c r="K13" s="38">
        <v>1</v>
      </c>
      <c r="L13" s="36"/>
      <c r="M13" s="36"/>
      <c r="N13" s="37"/>
      <c r="O13" s="34"/>
      <c r="P13" s="548"/>
      <c r="Q13" s="549"/>
      <c r="R13" s="38">
        <v>1</v>
      </c>
      <c r="S13" s="36"/>
      <c r="T13" s="36"/>
      <c r="U13" s="37"/>
      <c r="W13" s="548"/>
      <c r="X13" s="549"/>
      <c r="Y13" s="38">
        <v>1</v>
      </c>
      <c r="Z13" s="36"/>
      <c r="AA13" s="36"/>
      <c r="AB13" s="37"/>
      <c r="AD13" s="548"/>
      <c r="AE13" s="549"/>
      <c r="AF13" s="38">
        <v>1</v>
      </c>
      <c r="AG13" s="36"/>
      <c r="AH13" s="36"/>
      <c r="AI13" s="37"/>
    </row>
    <row r="14" spans="2:35" ht="13.5" customHeight="1">
      <c r="B14" s="546" t="s">
        <v>28</v>
      </c>
      <c r="C14" s="547"/>
      <c r="D14" s="38">
        <v>2</v>
      </c>
      <c r="E14" s="36"/>
      <c r="F14" s="36"/>
      <c r="G14" s="37"/>
      <c r="H14" s="34"/>
      <c r="I14" s="546" t="s">
        <v>28</v>
      </c>
      <c r="J14" s="547"/>
      <c r="K14" s="38">
        <v>2</v>
      </c>
      <c r="L14" s="36"/>
      <c r="M14" s="36"/>
      <c r="N14" s="37"/>
      <c r="O14" s="34"/>
      <c r="P14" s="546" t="s">
        <v>28</v>
      </c>
      <c r="Q14" s="547"/>
      <c r="R14" s="38">
        <v>2</v>
      </c>
      <c r="S14" s="36"/>
      <c r="T14" s="36"/>
      <c r="U14" s="37"/>
      <c r="W14" s="546" t="s">
        <v>28</v>
      </c>
      <c r="X14" s="547"/>
      <c r="Y14" s="38">
        <v>2</v>
      </c>
      <c r="Z14" s="36"/>
      <c r="AA14" s="36"/>
      <c r="AB14" s="37"/>
      <c r="AD14" s="546" t="s">
        <v>28</v>
      </c>
      <c r="AE14" s="547"/>
      <c r="AF14" s="38">
        <v>2</v>
      </c>
      <c r="AG14" s="36"/>
      <c r="AH14" s="36"/>
      <c r="AI14" s="37"/>
    </row>
    <row r="15" spans="2:35" ht="13.5" customHeight="1">
      <c r="B15" s="38" t="s">
        <v>29</v>
      </c>
      <c r="C15" s="44" t="s">
        <v>30</v>
      </c>
      <c r="D15" s="38">
        <v>3</v>
      </c>
      <c r="E15" s="36"/>
      <c r="F15" s="36"/>
      <c r="G15" s="37"/>
      <c r="H15" s="34"/>
      <c r="I15" s="38" t="s">
        <v>29</v>
      </c>
      <c r="J15" s="44" t="s">
        <v>30</v>
      </c>
      <c r="K15" s="38">
        <v>3</v>
      </c>
      <c r="L15" s="36"/>
      <c r="M15" s="36"/>
      <c r="N15" s="37"/>
      <c r="O15" s="34"/>
      <c r="P15" s="38" t="s">
        <v>29</v>
      </c>
      <c r="Q15" s="44" t="s">
        <v>30</v>
      </c>
      <c r="R15" s="38">
        <v>3</v>
      </c>
      <c r="S15" s="36"/>
      <c r="T15" s="36"/>
      <c r="U15" s="37"/>
      <c r="W15" s="38" t="s">
        <v>29</v>
      </c>
      <c r="X15" s="44" t="s">
        <v>30</v>
      </c>
      <c r="Y15" s="38">
        <v>3</v>
      </c>
      <c r="Z15" s="36"/>
      <c r="AA15" s="36"/>
      <c r="AB15" s="37"/>
      <c r="AD15" s="38" t="s">
        <v>29</v>
      </c>
      <c r="AE15" s="44" t="s">
        <v>30</v>
      </c>
      <c r="AF15" s="38">
        <v>3</v>
      </c>
      <c r="AG15" s="36"/>
      <c r="AH15" s="36"/>
      <c r="AI15" s="37"/>
    </row>
    <row r="16" spans="2:35" ht="14.25" customHeight="1" thickBot="1">
      <c r="B16" s="45"/>
      <c r="C16" s="46"/>
      <c r="D16" s="41" t="s">
        <v>27</v>
      </c>
      <c r="E16" s="42" t="e">
        <f>AVERAGE(E13:E15)</f>
        <v>#DIV/0!</v>
      </c>
      <c r="F16" s="42" t="e">
        <f>AVERAGE(F13:F15)</f>
        <v>#DIV/0!</v>
      </c>
      <c r="G16" s="43" t="e">
        <f>AVERAGE(G13:G15)</f>
        <v>#DIV/0!</v>
      </c>
      <c r="H16" s="34"/>
      <c r="I16" s="45"/>
      <c r="J16" s="46"/>
      <c r="K16" s="41" t="s">
        <v>27</v>
      </c>
      <c r="L16" s="42" t="e">
        <f>AVERAGE(L13:L15)</f>
        <v>#DIV/0!</v>
      </c>
      <c r="M16" s="42" t="e">
        <f>AVERAGE(M13:M15)</f>
        <v>#DIV/0!</v>
      </c>
      <c r="N16" s="43" t="e">
        <f>AVERAGE(N13:N15)</f>
        <v>#DIV/0!</v>
      </c>
      <c r="O16" s="34"/>
      <c r="P16" s="45"/>
      <c r="Q16" s="46"/>
      <c r="R16" s="41" t="s">
        <v>27</v>
      </c>
      <c r="S16" s="42" t="e">
        <f>AVERAGE(S13:S15)</f>
        <v>#DIV/0!</v>
      </c>
      <c r="T16" s="42" t="e">
        <f>AVERAGE(T13:T15)</f>
        <v>#DIV/0!</v>
      </c>
      <c r="U16" s="43" t="e">
        <f>AVERAGE(U13:U15)</f>
        <v>#DIV/0!</v>
      </c>
      <c r="W16" s="45"/>
      <c r="X16" s="46"/>
      <c r="Y16" s="41" t="s">
        <v>27</v>
      </c>
      <c r="Z16" s="42" t="e">
        <f>AVERAGE(Z13:Z15)</f>
        <v>#DIV/0!</v>
      </c>
      <c r="AA16" s="42" t="e">
        <f>AVERAGE(AA13:AA15)</f>
        <v>#DIV/0!</v>
      </c>
      <c r="AB16" s="43" t="e">
        <f>AVERAGE(AB13:AB15)</f>
        <v>#DIV/0!</v>
      </c>
      <c r="AD16" s="45"/>
      <c r="AE16" s="46"/>
      <c r="AF16" s="41" t="s">
        <v>27</v>
      </c>
      <c r="AG16" s="42" t="e">
        <f>AVERAGE(AG13:AG15)</f>
        <v>#DIV/0!</v>
      </c>
      <c r="AH16" s="42" t="e">
        <f>AVERAGE(AH13:AH15)</f>
        <v>#DIV/0!</v>
      </c>
      <c r="AI16" s="43" t="e">
        <f>AVERAGE(AI13:AI15)</f>
        <v>#DIV/0!</v>
      </c>
    </row>
    <row r="17" spans="2:35" ht="14.25" thickBot="1">
      <c r="B17" s="550" t="s">
        <v>25</v>
      </c>
      <c r="C17" s="551"/>
      <c r="D17" s="552"/>
      <c r="E17" s="552"/>
      <c r="F17" s="552"/>
      <c r="G17" s="553"/>
      <c r="I17" s="550" t="s">
        <v>25</v>
      </c>
      <c r="J17" s="551"/>
      <c r="K17" s="552"/>
      <c r="L17" s="552"/>
      <c r="M17" s="552"/>
      <c r="N17" s="553"/>
      <c r="P17" s="550" t="s">
        <v>25</v>
      </c>
      <c r="Q17" s="551"/>
      <c r="R17" s="552"/>
      <c r="S17" s="552"/>
      <c r="T17" s="552"/>
      <c r="U17" s="553"/>
      <c r="W17" s="550" t="s">
        <v>25</v>
      </c>
      <c r="X17" s="551"/>
      <c r="Y17" s="552"/>
      <c r="Z17" s="552"/>
      <c r="AA17" s="552"/>
      <c r="AB17" s="553"/>
      <c r="AD17" s="550" t="s">
        <v>25</v>
      </c>
      <c r="AE17" s="551"/>
      <c r="AF17" s="552"/>
      <c r="AG17" s="552"/>
      <c r="AH17" s="552"/>
      <c r="AI17" s="553"/>
    </row>
    <row r="18" spans="2:35" ht="14.25" thickBot="1">
      <c r="N18"/>
    </row>
    <row r="19" spans="2:35" ht="13.5" customHeight="1">
      <c r="B19" s="546" t="s">
        <v>26</v>
      </c>
      <c r="C19" s="547"/>
      <c r="D19" s="39"/>
      <c r="E19" s="40" t="s">
        <v>47</v>
      </c>
      <c r="F19" s="40" t="s">
        <v>48</v>
      </c>
      <c r="G19" s="50" t="s">
        <v>49</v>
      </c>
      <c r="I19" s="546" t="s">
        <v>26</v>
      </c>
      <c r="J19" s="547"/>
      <c r="K19" s="39"/>
      <c r="L19" s="40" t="s">
        <v>47</v>
      </c>
      <c r="M19" s="40" t="s">
        <v>48</v>
      </c>
      <c r="N19" s="50" t="s">
        <v>49</v>
      </c>
      <c r="P19" s="546" t="s">
        <v>26</v>
      </c>
      <c r="Q19" s="547"/>
      <c r="R19" s="39"/>
      <c r="S19" s="40" t="s">
        <v>47</v>
      </c>
      <c r="T19" s="40" t="s">
        <v>48</v>
      </c>
      <c r="U19" s="50" t="s">
        <v>49</v>
      </c>
      <c r="W19" s="546" t="s">
        <v>26</v>
      </c>
      <c r="X19" s="547"/>
      <c r="Y19" s="39"/>
      <c r="Z19" s="40" t="s">
        <v>47</v>
      </c>
      <c r="AA19" s="40" t="s">
        <v>48</v>
      </c>
      <c r="AB19" s="50" t="s">
        <v>49</v>
      </c>
      <c r="AD19" s="546" t="s">
        <v>26</v>
      </c>
      <c r="AE19" s="547"/>
      <c r="AF19" s="39"/>
      <c r="AG19" s="40" t="s">
        <v>47</v>
      </c>
      <c r="AH19" s="40" t="s">
        <v>48</v>
      </c>
      <c r="AI19" s="50" t="s">
        <v>49</v>
      </c>
    </row>
    <row r="20" spans="2:35" ht="14.25" customHeight="1" thickBot="1">
      <c r="B20" s="548"/>
      <c r="C20" s="549"/>
      <c r="D20" s="38">
        <v>1</v>
      </c>
      <c r="E20" s="36"/>
      <c r="F20" s="36"/>
      <c r="G20" s="37"/>
      <c r="H20" s="34"/>
      <c r="I20" s="548"/>
      <c r="J20" s="549"/>
      <c r="K20" s="38">
        <v>1</v>
      </c>
      <c r="L20" s="36"/>
      <c r="M20" s="36"/>
      <c r="N20" s="37"/>
      <c r="O20" s="34"/>
      <c r="P20" s="548"/>
      <c r="Q20" s="549"/>
      <c r="R20" s="38">
        <v>1</v>
      </c>
      <c r="S20" s="36"/>
      <c r="T20" s="36"/>
      <c r="U20" s="37"/>
      <c r="W20" s="548"/>
      <c r="X20" s="549"/>
      <c r="Y20" s="38">
        <v>1</v>
      </c>
      <c r="Z20" s="36"/>
      <c r="AA20" s="36"/>
      <c r="AB20" s="37"/>
      <c r="AD20" s="548"/>
      <c r="AE20" s="549"/>
      <c r="AF20" s="38">
        <v>1</v>
      </c>
      <c r="AG20" s="36"/>
      <c r="AH20" s="36"/>
      <c r="AI20" s="37"/>
    </row>
    <row r="21" spans="2:35" ht="13.5" customHeight="1">
      <c r="B21" s="546" t="s">
        <v>28</v>
      </c>
      <c r="C21" s="547"/>
      <c r="D21" s="38">
        <v>2</v>
      </c>
      <c r="E21" s="36"/>
      <c r="F21" s="36"/>
      <c r="G21" s="37"/>
      <c r="H21" s="34"/>
      <c r="I21" s="546" t="s">
        <v>28</v>
      </c>
      <c r="J21" s="547"/>
      <c r="K21" s="38">
        <v>2</v>
      </c>
      <c r="L21" s="36"/>
      <c r="M21" s="36"/>
      <c r="N21" s="37"/>
      <c r="O21" s="34"/>
      <c r="P21" s="546" t="s">
        <v>28</v>
      </c>
      <c r="Q21" s="547"/>
      <c r="R21" s="38">
        <v>2</v>
      </c>
      <c r="S21" s="36"/>
      <c r="T21" s="36"/>
      <c r="U21" s="37"/>
      <c r="W21" s="546" t="s">
        <v>28</v>
      </c>
      <c r="X21" s="547"/>
      <c r="Y21" s="38">
        <v>2</v>
      </c>
      <c r="Z21" s="36"/>
      <c r="AA21" s="36"/>
      <c r="AB21" s="37"/>
      <c r="AD21" s="546" t="s">
        <v>28</v>
      </c>
      <c r="AE21" s="547"/>
      <c r="AF21" s="38">
        <v>2</v>
      </c>
      <c r="AG21" s="36"/>
      <c r="AH21" s="36"/>
      <c r="AI21" s="37"/>
    </row>
    <row r="22" spans="2:35" ht="13.5" customHeight="1">
      <c r="B22" s="38" t="s">
        <v>29</v>
      </c>
      <c r="C22" s="44" t="s">
        <v>30</v>
      </c>
      <c r="D22" s="38">
        <v>3</v>
      </c>
      <c r="E22" s="36"/>
      <c r="F22" s="36"/>
      <c r="G22" s="37"/>
      <c r="H22" s="34"/>
      <c r="I22" s="38" t="s">
        <v>29</v>
      </c>
      <c r="J22" s="44" t="s">
        <v>30</v>
      </c>
      <c r="K22" s="38">
        <v>3</v>
      </c>
      <c r="L22" s="36"/>
      <c r="M22" s="36"/>
      <c r="N22" s="37"/>
      <c r="O22" s="34"/>
      <c r="P22" s="38" t="s">
        <v>29</v>
      </c>
      <c r="Q22" s="44" t="s">
        <v>30</v>
      </c>
      <c r="R22" s="38">
        <v>3</v>
      </c>
      <c r="S22" s="36"/>
      <c r="T22" s="36"/>
      <c r="U22" s="37"/>
      <c r="W22" s="38" t="s">
        <v>29</v>
      </c>
      <c r="X22" s="44" t="s">
        <v>30</v>
      </c>
      <c r="Y22" s="38">
        <v>3</v>
      </c>
      <c r="Z22" s="36"/>
      <c r="AA22" s="36"/>
      <c r="AB22" s="37"/>
      <c r="AD22" s="38" t="s">
        <v>29</v>
      </c>
      <c r="AE22" s="44" t="s">
        <v>30</v>
      </c>
      <c r="AF22" s="38">
        <v>3</v>
      </c>
      <c r="AG22" s="36"/>
      <c r="AH22" s="36"/>
      <c r="AI22" s="37"/>
    </row>
    <row r="23" spans="2:35" ht="14.25" customHeight="1" thickBot="1">
      <c r="B23" s="45"/>
      <c r="C23" s="46"/>
      <c r="D23" s="41" t="s">
        <v>27</v>
      </c>
      <c r="E23" s="42" t="e">
        <f>AVERAGE(E20:E22)</f>
        <v>#DIV/0!</v>
      </c>
      <c r="F23" s="42" t="e">
        <f>AVERAGE(F20:F22)</f>
        <v>#DIV/0!</v>
      </c>
      <c r="G23" s="43" t="e">
        <f>AVERAGE(G20:G22)</f>
        <v>#DIV/0!</v>
      </c>
      <c r="H23" s="34"/>
      <c r="I23" s="45"/>
      <c r="J23" s="46"/>
      <c r="K23" s="41" t="s">
        <v>27</v>
      </c>
      <c r="L23" s="42" t="e">
        <f>AVERAGE(L20:L22)</f>
        <v>#DIV/0!</v>
      </c>
      <c r="M23" s="42" t="e">
        <f>AVERAGE(M20:M22)</f>
        <v>#DIV/0!</v>
      </c>
      <c r="N23" s="43" t="e">
        <f>AVERAGE(N20:N22)</f>
        <v>#DIV/0!</v>
      </c>
      <c r="O23" s="34"/>
      <c r="P23" s="45"/>
      <c r="Q23" s="46"/>
      <c r="R23" s="41" t="s">
        <v>27</v>
      </c>
      <c r="S23" s="42" t="e">
        <f>AVERAGE(S20:S22)</f>
        <v>#DIV/0!</v>
      </c>
      <c r="T23" s="42" t="e">
        <f>AVERAGE(T20:T22)</f>
        <v>#DIV/0!</v>
      </c>
      <c r="U23" s="43" t="e">
        <f>AVERAGE(U20:U22)</f>
        <v>#DIV/0!</v>
      </c>
      <c r="W23" s="45"/>
      <c r="X23" s="46"/>
      <c r="Y23" s="41" t="s">
        <v>27</v>
      </c>
      <c r="Z23" s="42" t="e">
        <f>AVERAGE(Z20:Z22)</f>
        <v>#DIV/0!</v>
      </c>
      <c r="AA23" s="42" t="e">
        <f>AVERAGE(AA20:AA22)</f>
        <v>#DIV/0!</v>
      </c>
      <c r="AB23" s="43" t="e">
        <f>AVERAGE(AB20:AB22)</f>
        <v>#DIV/0!</v>
      </c>
      <c r="AD23" s="45"/>
      <c r="AE23" s="46"/>
      <c r="AF23" s="41" t="s">
        <v>27</v>
      </c>
      <c r="AG23" s="42" t="e">
        <f>AVERAGE(AG20:AG22)</f>
        <v>#DIV/0!</v>
      </c>
      <c r="AH23" s="42" t="e">
        <f>AVERAGE(AH20:AH22)</f>
        <v>#DIV/0!</v>
      </c>
      <c r="AI23" s="43" t="e">
        <f>AVERAGE(AI20:AI22)</f>
        <v>#DIV/0!</v>
      </c>
    </row>
    <row r="24" spans="2:35" ht="14.25" thickBot="1">
      <c r="B24" s="550" t="s">
        <v>25</v>
      </c>
      <c r="C24" s="551"/>
      <c r="D24" s="552"/>
      <c r="E24" s="552"/>
      <c r="F24" s="552"/>
      <c r="G24" s="553"/>
      <c r="I24" s="550" t="s">
        <v>25</v>
      </c>
      <c r="J24" s="551"/>
      <c r="K24" s="552"/>
      <c r="L24" s="552"/>
      <c r="M24" s="552"/>
      <c r="N24" s="553"/>
      <c r="P24" s="550" t="s">
        <v>25</v>
      </c>
      <c r="Q24" s="551"/>
      <c r="R24" s="552"/>
      <c r="S24" s="552"/>
      <c r="T24" s="552"/>
      <c r="U24" s="553"/>
      <c r="W24" s="550" t="s">
        <v>25</v>
      </c>
      <c r="X24" s="551"/>
      <c r="Y24" s="552"/>
      <c r="Z24" s="552"/>
      <c r="AA24" s="552"/>
      <c r="AB24" s="553"/>
      <c r="AD24" s="550" t="s">
        <v>25</v>
      </c>
      <c r="AE24" s="551"/>
      <c r="AF24" s="552"/>
      <c r="AG24" s="552"/>
      <c r="AH24" s="552"/>
      <c r="AI24" s="553"/>
    </row>
    <row r="25" spans="2:35" ht="14.25" thickBot="1">
      <c r="N25"/>
    </row>
    <row r="26" spans="2:35" ht="13.5" customHeight="1">
      <c r="B26" s="546" t="s">
        <v>26</v>
      </c>
      <c r="C26" s="547"/>
      <c r="D26" s="39"/>
      <c r="E26" s="40" t="s">
        <v>47</v>
      </c>
      <c r="F26" s="40" t="s">
        <v>48</v>
      </c>
      <c r="G26" s="50" t="s">
        <v>49</v>
      </c>
      <c r="I26" s="546" t="s">
        <v>26</v>
      </c>
      <c r="J26" s="547"/>
      <c r="K26" s="39"/>
      <c r="L26" s="40" t="s">
        <v>47</v>
      </c>
      <c r="M26" s="40" t="s">
        <v>48</v>
      </c>
      <c r="N26" s="50" t="s">
        <v>49</v>
      </c>
      <c r="P26" s="546" t="s">
        <v>26</v>
      </c>
      <c r="Q26" s="547"/>
      <c r="R26" s="39"/>
      <c r="S26" s="40" t="s">
        <v>47</v>
      </c>
      <c r="T26" s="40" t="s">
        <v>48</v>
      </c>
      <c r="U26" s="50" t="s">
        <v>49</v>
      </c>
      <c r="W26" s="546" t="s">
        <v>26</v>
      </c>
      <c r="X26" s="547"/>
      <c r="Y26" s="39"/>
      <c r="Z26" s="40" t="s">
        <v>47</v>
      </c>
      <c r="AA26" s="40" t="s">
        <v>48</v>
      </c>
      <c r="AB26" s="50" t="s">
        <v>49</v>
      </c>
      <c r="AD26" s="546" t="s">
        <v>26</v>
      </c>
      <c r="AE26" s="547"/>
      <c r="AF26" s="39"/>
      <c r="AG26" s="40" t="s">
        <v>47</v>
      </c>
      <c r="AH26" s="40" t="s">
        <v>48</v>
      </c>
      <c r="AI26" s="50" t="s">
        <v>49</v>
      </c>
    </row>
    <row r="27" spans="2:35" ht="14.25" customHeight="1" thickBot="1">
      <c r="B27" s="548"/>
      <c r="C27" s="549"/>
      <c r="D27" s="38">
        <v>1</v>
      </c>
      <c r="E27" s="36"/>
      <c r="F27" s="36"/>
      <c r="G27" s="37"/>
      <c r="H27" s="34"/>
      <c r="I27" s="548"/>
      <c r="J27" s="549"/>
      <c r="K27" s="38">
        <v>1</v>
      </c>
      <c r="L27" s="36"/>
      <c r="M27" s="36"/>
      <c r="N27" s="37"/>
      <c r="O27" s="34"/>
      <c r="P27" s="548"/>
      <c r="Q27" s="549"/>
      <c r="R27" s="38">
        <v>1</v>
      </c>
      <c r="S27" s="36"/>
      <c r="T27" s="36"/>
      <c r="U27" s="37"/>
      <c r="W27" s="548"/>
      <c r="X27" s="549"/>
      <c r="Y27" s="38">
        <v>1</v>
      </c>
      <c r="Z27" s="36"/>
      <c r="AA27" s="36"/>
      <c r="AB27" s="37"/>
      <c r="AD27" s="548"/>
      <c r="AE27" s="549"/>
      <c r="AF27" s="38">
        <v>1</v>
      </c>
      <c r="AG27" s="36"/>
      <c r="AH27" s="36"/>
      <c r="AI27" s="37"/>
    </row>
    <row r="28" spans="2:35" ht="13.5" customHeight="1">
      <c r="B28" s="546" t="s">
        <v>28</v>
      </c>
      <c r="C28" s="547"/>
      <c r="D28" s="38">
        <v>2</v>
      </c>
      <c r="E28" s="36"/>
      <c r="F28" s="36"/>
      <c r="G28" s="37"/>
      <c r="H28" s="34"/>
      <c r="I28" s="546" t="s">
        <v>28</v>
      </c>
      <c r="J28" s="547"/>
      <c r="K28" s="38">
        <v>2</v>
      </c>
      <c r="L28" s="36"/>
      <c r="M28" s="36"/>
      <c r="N28" s="37"/>
      <c r="O28" s="34"/>
      <c r="P28" s="546" t="s">
        <v>28</v>
      </c>
      <c r="Q28" s="547"/>
      <c r="R28" s="38">
        <v>2</v>
      </c>
      <c r="S28" s="36"/>
      <c r="T28" s="36"/>
      <c r="U28" s="37"/>
      <c r="W28" s="546" t="s">
        <v>28</v>
      </c>
      <c r="X28" s="547"/>
      <c r="Y28" s="38">
        <v>2</v>
      </c>
      <c r="Z28" s="36"/>
      <c r="AA28" s="36"/>
      <c r="AB28" s="37"/>
      <c r="AD28" s="546" t="s">
        <v>28</v>
      </c>
      <c r="AE28" s="547"/>
      <c r="AF28" s="38">
        <v>2</v>
      </c>
      <c r="AG28" s="36"/>
      <c r="AH28" s="36"/>
      <c r="AI28" s="37"/>
    </row>
    <row r="29" spans="2:35" ht="13.5" customHeight="1">
      <c r="B29" s="38" t="s">
        <v>29</v>
      </c>
      <c r="C29" s="44" t="s">
        <v>30</v>
      </c>
      <c r="D29" s="38">
        <v>3</v>
      </c>
      <c r="E29" s="36"/>
      <c r="F29" s="36"/>
      <c r="G29" s="37"/>
      <c r="H29" s="34"/>
      <c r="I29" s="38" t="s">
        <v>29</v>
      </c>
      <c r="J29" s="44" t="s">
        <v>30</v>
      </c>
      <c r="K29" s="38">
        <v>3</v>
      </c>
      <c r="L29" s="36"/>
      <c r="M29" s="36"/>
      <c r="N29" s="37"/>
      <c r="O29" s="34"/>
      <c r="P29" s="38" t="s">
        <v>29</v>
      </c>
      <c r="Q29" s="44" t="s">
        <v>30</v>
      </c>
      <c r="R29" s="38">
        <v>3</v>
      </c>
      <c r="S29" s="36"/>
      <c r="T29" s="36"/>
      <c r="U29" s="37"/>
      <c r="W29" s="38" t="s">
        <v>29</v>
      </c>
      <c r="X29" s="44" t="s">
        <v>30</v>
      </c>
      <c r="Y29" s="38">
        <v>3</v>
      </c>
      <c r="Z29" s="36"/>
      <c r="AA29" s="36"/>
      <c r="AB29" s="37"/>
      <c r="AD29" s="38" t="s">
        <v>29</v>
      </c>
      <c r="AE29" s="44" t="s">
        <v>30</v>
      </c>
      <c r="AF29" s="38">
        <v>3</v>
      </c>
      <c r="AG29" s="36"/>
      <c r="AH29" s="36"/>
      <c r="AI29" s="37"/>
    </row>
    <row r="30" spans="2:35" ht="14.25" customHeight="1" thickBot="1">
      <c r="B30" s="45"/>
      <c r="C30" s="46"/>
      <c r="D30" s="41" t="s">
        <v>27</v>
      </c>
      <c r="E30" s="42" t="e">
        <f>AVERAGE(E27:E29)</f>
        <v>#DIV/0!</v>
      </c>
      <c r="F30" s="42" t="e">
        <f>AVERAGE(F27:F29)</f>
        <v>#DIV/0!</v>
      </c>
      <c r="G30" s="43" t="e">
        <f>AVERAGE(G27:G29)</f>
        <v>#DIV/0!</v>
      </c>
      <c r="H30" s="34"/>
      <c r="I30" s="45"/>
      <c r="J30" s="46"/>
      <c r="K30" s="41" t="s">
        <v>27</v>
      </c>
      <c r="L30" s="42" t="e">
        <f>AVERAGE(L27:L29)</f>
        <v>#DIV/0!</v>
      </c>
      <c r="M30" s="42" t="e">
        <f>AVERAGE(M27:M29)</f>
        <v>#DIV/0!</v>
      </c>
      <c r="N30" s="43" t="e">
        <f>AVERAGE(N27:N29)</f>
        <v>#DIV/0!</v>
      </c>
      <c r="O30" s="34"/>
      <c r="P30" s="45"/>
      <c r="Q30" s="46"/>
      <c r="R30" s="41" t="s">
        <v>27</v>
      </c>
      <c r="S30" s="42" t="e">
        <f>AVERAGE(S27:S29)</f>
        <v>#DIV/0!</v>
      </c>
      <c r="T30" s="42" t="e">
        <f>AVERAGE(T27:T29)</f>
        <v>#DIV/0!</v>
      </c>
      <c r="U30" s="43" t="e">
        <f>AVERAGE(U27:U29)</f>
        <v>#DIV/0!</v>
      </c>
      <c r="W30" s="45"/>
      <c r="X30" s="46"/>
      <c r="Y30" s="41" t="s">
        <v>27</v>
      </c>
      <c r="Z30" s="42" t="e">
        <f>AVERAGE(Z27:Z29)</f>
        <v>#DIV/0!</v>
      </c>
      <c r="AA30" s="42" t="e">
        <f>AVERAGE(AA27:AA29)</f>
        <v>#DIV/0!</v>
      </c>
      <c r="AB30" s="43" t="e">
        <f>AVERAGE(AB27:AB29)</f>
        <v>#DIV/0!</v>
      </c>
      <c r="AD30" s="45"/>
      <c r="AE30" s="46"/>
      <c r="AF30" s="41" t="s">
        <v>27</v>
      </c>
      <c r="AG30" s="42" t="e">
        <f>AVERAGE(AG27:AG29)</f>
        <v>#DIV/0!</v>
      </c>
      <c r="AH30" s="42" t="e">
        <f>AVERAGE(AH27:AH29)</f>
        <v>#DIV/0!</v>
      </c>
      <c r="AI30" s="43" t="e">
        <f>AVERAGE(AI27:AI29)</f>
        <v>#DIV/0!</v>
      </c>
    </row>
    <row r="31" spans="2:35" ht="14.25" thickBot="1">
      <c r="B31" s="550" t="s">
        <v>25</v>
      </c>
      <c r="C31" s="551"/>
      <c r="D31" s="552"/>
      <c r="E31" s="552"/>
      <c r="F31" s="552"/>
      <c r="G31" s="553"/>
      <c r="I31" s="550" t="s">
        <v>25</v>
      </c>
      <c r="J31" s="551"/>
      <c r="K31" s="552"/>
      <c r="L31" s="552"/>
      <c r="M31" s="552"/>
      <c r="N31" s="553"/>
      <c r="P31" s="550" t="s">
        <v>25</v>
      </c>
      <c r="Q31" s="551"/>
      <c r="R31" s="552"/>
      <c r="S31" s="552"/>
      <c r="T31" s="552"/>
      <c r="U31" s="553"/>
      <c r="W31" s="550" t="s">
        <v>25</v>
      </c>
      <c r="X31" s="551"/>
      <c r="Y31" s="552"/>
      <c r="Z31" s="552"/>
      <c r="AA31" s="552"/>
      <c r="AB31" s="553"/>
      <c r="AD31" s="550" t="s">
        <v>25</v>
      </c>
      <c r="AE31" s="551"/>
      <c r="AF31" s="552"/>
      <c r="AG31" s="552"/>
      <c r="AH31" s="552"/>
      <c r="AI31" s="553"/>
    </row>
    <row r="32" spans="2:35" ht="14.25" thickBot="1">
      <c r="N32"/>
    </row>
    <row r="33" spans="2:35">
      <c r="B33" s="546" t="s">
        <v>26</v>
      </c>
      <c r="C33" s="547"/>
      <c r="D33" s="39"/>
      <c r="E33" s="40" t="s">
        <v>47</v>
      </c>
      <c r="F33" s="40" t="s">
        <v>48</v>
      </c>
      <c r="G33" s="50" t="s">
        <v>49</v>
      </c>
      <c r="I33" s="546" t="s">
        <v>26</v>
      </c>
      <c r="J33" s="547"/>
      <c r="K33" s="39"/>
      <c r="L33" s="40" t="s">
        <v>47</v>
      </c>
      <c r="M33" s="40" t="s">
        <v>48</v>
      </c>
      <c r="N33" s="50" t="s">
        <v>49</v>
      </c>
      <c r="P33" s="546" t="s">
        <v>26</v>
      </c>
      <c r="Q33" s="547"/>
      <c r="R33" s="39"/>
      <c r="S33" s="40" t="s">
        <v>47</v>
      </c>
      <c r="T33" s="40" t="s">
        <v>48</v>
      </c>
      <c r="U33" s="50" t="s">
        <v>49</v>
      </c>
      <c r="W33" s="546" t="s">
        <v>26</v>
      </c>
      <c r="X33" s="547"/>
      <c r="Y33" s="39"/>
      <c r="Z33" s="40" t="s">
        <v>47</v>
      </c>
      <c r="AA33" s="40" t="s">
        <v>48</v>
      </c>
      <c r="AB33" s="50" t="s">
        <v>49</v>
      </c>
      <c r="AD33" s="546" t="s">
        <v>26</v>
      </c>
      <c r="AE33" s="547"/>
      <c r="AF33" s="39"/>
      <c r="AG33" s="40" t="s">
        <v>47</v>
      </c>
      <c r="AH33" s="40" t="s">
        <v>48</v>
      </c>
      <c r="AI33" s="50" t="s">
        <v>49</v>
      </c>
    </row>
    <row r="34" spans="2:35" ht="14.25" thickBot="1">
      <c r="B34" s="548"/>
      <c r="C34" s="549"/>
      <c r="D34" s="38">
        <v>1</v>
      </c>
      <c r="E34" s="36"/>
      <c r="F34" s="36"/>
      <c r="G34" s="37"/>
      <c r="I34" s="548"/>
      <c r="J34" s="549"/>
      <c r="K34" s="38">
        <v>1</v>
      </c>
      <c r="L34" s="36"/>
      <c r="M34" s="36"/>
      <c r="N34" s="37"/>
      <c r="P34" s="548"/>
      <c r="Q34" s="549"/>
      <c r="R34" s="38">
        <v>1</v>
      </c>
      <c r="S34" s="36"/>
      <c r="T34" s="36"/>
      <c r="U34" s="37"/>
      <c r="W34" s="548"/>
      <c r="X34" s="549"/>
      <c r="Y34" s="38">
        <v>1</v>
      </c>
      <c r="Z34" s="36"/>
      <c r="AA34" s="36"/>
      <c r="AB34" s="37"/>
      <c r="AD34" s="548"/>
      <c r="AE34" s="549"/>
      <c r="AF34" s="38">
        <v>1</v>
      </c>
      <c r="AG34" s="36"/>
      <c r="AH34" s="36"/>
      <c r="AI34" s="37"/>
    </row>
    <row r="35" spans="2:35">
      <c r="B35" s="546" t="s">
        <v>28</v>
      </c>
      <c r="C35" s="547"/>
      <c r="D35" s="38">
        <v>2</v>
      </c>
      <c r="E35" s="36"/>
      <c r="F35" s="36"/>
      <c r="G35" s="37"/>
      <c r="I35" s="546" t="s">
        <v>28</v>
      </c>
      <c r="J35" s="547"/>
      <c r="K35" s="38">
        <v>2</v>
      </c>
      <c r="L35" s="36"/>
      <c r="M35" s="36"/>
      <c r="N35" s="37"/>
      <c r="P35" s="546" t="s">
        <v>28</v>
      </c>
      <c r="Q35" s="547"/>
      <c r="R35" s="38">
        <v>2</v>
      </c>
      <c r="S35" s="36"/>
      <c r="T35" s="36"/>
      <c r="U35" s="37"/>
      <c r="W35" s="546" t="s">
        <v>28</v>
      </c>
      <c r="X35" s="547"/>
      <c r="Y35" s="38">
        <v>2</v>
      </c>
      <c r="Z35" s="36"/>
      <c r="AA35" s="36"/>
      <c r="AB35" s="37"/>
      <c r="AD35" s="546" t="s">
        <v>28</v>
      </c>
      <c r="AE35" s="547"/>
      <c r="AF35" s="38">
        <v>2</v>
      </c>
      <c r="AG35" s="36"/>
      <c r="AH35" s="36"/>
      <c r="AI35" s="37"/>
    </row>
    <row r="36" spans="2:35">
      <c r="B36" s="38" t="s">
        <v>29</v>
      </c>
      <c r="C36" s="44" t="s">
        <v>30</v>
      </c>
      <c r="D36" s="38">
        <v>3</v>
      </c>
      <c r="E36" s="36"/>
      <c r="F36" s="36"/>
      <c r="G36" s="37"/>
      <c r="I36" s="38" t="s">
        <v>29</v>
      </c>
      <c r="J36" s="44" t="s">
        <v>30</v>
      </c>
      <c r="K36" s="38">
        <v>3</v>
      </c>
      <c r="L36" s="36"/>
      <c r="M36" s="36"/>
      <c r="N36" s="37"/>
      <c r="P36" s="38" t="s">
        <v>29</v>
      </c>
      <c r="Q36" s="44" t="s">
        <v>30</v>
      </c>
      <c r="R36" s="38">
        <v>3</v>
      </c>
      <c r="S36" s="36"/>
      <c r="T36" s="36"/>
      <c r="U36" s="37"/>
      <c r="W36" s="38" t="s">
        <v>29</v>
      </c>
      <c r="X36" s="44" t="s">
        <v>30</v>
      </c>
      <c r="Y36" s="38">
        <v>3</v>
      </c>
      <c r="Z36" s="36"/>
      <c r="AA36" s="36"/>
      <c r="AB36" s="37"/>
      <c r="AD36" s="38" t="s">
        <v>29</v>
      </c>
      <c r="AE36" s="44" t="s">
        <v>30</v>
      </c>
      <c r="AF36" s="38">
        <v>3</v>
      </c>
      <c r="AG36" s="36"/>
      <c r="AH36" s="36"/>
      <c r="AI36" s="37"/>
    </row>
    <row r="37" spans="2:35" ht="14.25" thickBot="1">
      <c r="B37" s="45"/>
      <c r="C37" s="46"/>
      <c r="D37" s="41" t="s">
        <v>27</v>
      </c>
      <c r="E37" s="42" t="e">
        <f>AVERAGE(E34:E36)</f>
        <v>#DIV/0!</v>
      </c>
      <c r="F37" s="42" t="e">
        <f>AVERAGE(F34:F36)</f>
        <v>#DIV/0!</v>
      </c>
      <c r="G37" s="43" t="e">
        <f>AVERAGE(G34:G36)</f>
        <v>#DIV/0!</v>
      </c>
      <c r="I37" s="45"/>
      <c r="J37" s="46"/>
      <c r="K37" s="41" t="s">
        <v>27</v>
      </c>
      <c r="L37" s="42" t="e">
        <f>AVERAGE(L34:L36)</f>
        <v>#DIV/0!</v>
      </c>
      <c r="M37" s="42" t="e">
        <f>AVERAGE(M34:M36)</f>
        <v>#DIV/0!</v>
      </c>
      <c r="N37" s="43" t="e">
        <f>AVERAGE(N34:N36)</f>
        <v>#DIV/0!</v>
      </c>
      <c r="P37" s="45"/>
      <c r="Q37" s="46"/>
      <c r="R37" s="41" t="s">
        <v>27</v>
      </c>
      <c r="S37" s="42" t="e">
        <f>AVERAGE(S34:S36)</f>
        <v>#DIV/0!</v>
      </c>
      <c r="T37" s="42" t="e">
        <f>AVERAGE(T34:T36)</f>
        <v>#DIV/0!</v>
      </c>
      <c r="U37" s="43" t="e">
        <f>AVERAGE(U34:U36)</f>
        <v>#DIV/0!</v>
      </c>
      <c r="W37" s="45"/>
      <c r="X37" s="46"/>
      <c r="Y37" s="41" t="s">
        <v>27</v>
      </c>
      <c r="Z37" s="42" t="e">
        <f>AVERAGE(Z34:Z36)</f>
        <v>#DIV/0!</v>
      </c>
      <c r="AA37" s="42" t="e">
        <f>AVERAGE(AA34:AA36)</f>
        <v>#DIV/0!</v>
      </c>
      <c r="AB37" s="43" t="e">
        <f>AVERAGE(AB34:AB36)</f>
        <v>#DIV/0!</v>
      </c>
      <c r="AD37" s="45"/>
      <c r="AE37" s="46"/>
      <c r="AF37" s="41" t="s">
        <v>27</v>
      </c>
      <c r="AG37" s="42" t="e">
        <f>AVERAGE(AG34:AG36)</f>
        <v>#DIV/0!</v>
      </c>
      <c r="AH37" s="42" t="e">
        <f>AVERAGE(AH34:AH36)</f>
        <v>#DIV/0!</v>
      </c>
      <c r="AI37" s="43" t="e">
        <f>AVERAGE(AI34:AI36)</f>
        <v>#DIV/0!</v>
      </c>
    </row>
    <row r="38" spans="2:35" ht="14.25" thickBot="1">
      <c r="B38" s="550" t="s">
        <v>25</v>
      </c>
      <c r="C38" s="551"/>
      <c r="D38" s="552"/>
      <c r="E38" s="552"/>
      <c r="F38" s="552"/>
      <c r="G38" s="553"/>
      <c r="I38" s="550" t="s">
        <v>25</v>
      </c>
      <c r="J38" s="551"/>
      <c r="K38" s="552"/>
      <c r="L38" s="552"/>
      <c r="M38" s="552"/>
      <c r="N38" s="553"/>
      <c r="P38" s="550" t="s">
        <v>25</v>
      </c>
      <c r="Q38" s="551"/>
      <c r="R38" s="552"/>
      <c r="S38" s="552"/>
      <c r="T38" s="552"/>
      <c r="U38" s="553"/>
      <c r="W38" s="550" t="s">
        <v>25</v>
      </c>
      <c r="X38" s="551"/>
      <c r="Y38" s="552"/>
      <c r="Z38" s="552"/>
      <c r="AA38" s="552"/>
      <c r="AB38" s="553"/>
      <c r="AD38" s="550" t="s">
        <v>25</v>
      </c>
      <c r="AE38" s="551"/>
      <c r="AF38" s="552"/>
      <c r="AG38" s="552"/>
      <c r="AH38" s="552"/>
      <c r="AI38" s="553"/>
    </row>
  </sheetData>
  <mergeCells count="126">
    <mergeCell ref="I5:J5"/>
    <mergeCell ref="I6:J6"/>
    <mergeCell ref="I7:J7"/>
    <mergeCell ref="I10:J10"/>
    <mergeCell ref="K10:N10"/>
    <mergeCell ref="I12:J12"/>
    <mergeCell ref="R10:U10"/>
    <mergeCell ref="R17:U17"/>
    <mergeCell ref="R24:U24"/>
    <mergeCell ref="K24:N24"/>
    <mergeCell ref="I13:J13"/>
    <mergeCell ref="I14:J14"/>
    <mergeCell ref="I17:J17"/>
    <mergeCell ref="K17:N17"/>
    <mergeCell ref="I19:J19"/>
    <mergeCell ref="I21:J21"/>
    <mergeCell ref="I24:J24"/>
    <mergeCell ref="B2:G3"/>
    <mergeCell ref="D10:G10"/>
    <mergeCell ref="B5:C5"/>
    <mergeCell ref="B6:C6"/>
    <mergeCell ref="B7:C7"/>
    <mergeCell ref="B10:C10"/>
    <mergeCell ref="B12:C12"/>
    <mergeCell ref="B13:C13"/>
    <mergeCell ref="B14:C14"/>
    <mergeCell ref="B35:C35"/>
    <mergeCell ref="B38:C38"/>
    <mergeCell ref="D38:G38"/>
    <mergeCell ref="B26:C26"/>
    <mergeCell ref="B27:C27"/>
    <mergeCell ref="B28:C28"/>
    <mergeCell ref="B31:C31"/>
    <mergeCell ref="D31:G31"/>
    <mergeCell ref="B19:C19"/>
    <mergeCell ref="B20:C20"/>
    <mergeCell ref="B21:C21"/>
    <mergeCell ref="B24:C24"/>
    <mergeCell ref="D24:G24"/>
    <mergeCell ref="B33:C33"/>
    <mergeCell ref="B34:C34"/>
    <mergeCell ref="B17:C17"/>
    <mergeCell ref="D17:G17"/>
    <mergeCell ref="I34:J34"/>
    <mergeCell ref="I35:J35"/>
    <mergeCell ref="I38:J38"/>
    <mergeCell ref="K38:N38"/>
    <mergeCell ref="P5:Q5"/>
    <mergeCell ref="P6:Q6"/>
    <mergeCell ref="P7:Q7"/>
    <mergeCell ref="P10:Q10"/>
    <mergeCell ref="P12:Q12"/>
    <mergeCell ref="P13:Q13"/>
    <mergeCell ref="P14:Q14"/>
    <mergeCell ref="P17:Q17"/>
    <mergeCell ref="P19:Q19"/>
    <mergeCell ref="P20:Q20"/>
    <mergeCell ref="P21:Q21"/>
    <mergeCell ref="P24:Q24"/>
    <mergeCell ref="I27:J27"/>
    <mergeCell ref="I28:J28"/>
    <mergeCell ref="I31:J31"/>
    <mergeCell ref="K31:N31"/>
    <mergeCell ref="I33:J33"/>
    <mergeCell ref="I20:J20"/>
    <mergeCell ref="I26:J26"/>
    <mergeCell ref="Y10:AB10"/>
    <mergeCell ref="W12:X12"/>
    <mergeCell ref="W13:X13"/>
    <mergeCell ref="W14:X14"/>
    <mergeCell ref="W17:X17"/>
    <mergeCell ref="Y17:AB17"/>
    <mergeCell ref="P38:Q38"/>
    <mergeCell ref="R38:U38"/>
    <mergeCell ref="P31:Q31"/>
    <mergeCell ref="R31:U31"/>
    <mergeCell ref="P33:Q33"/>
    <mergeCell ref="P34:Q34"/>
    <mergeCell ref="P35:Q35"/>
    <mergeCell ref="P26:Q26"/>
    <mergeCell ref="P27:Q27"/>
    <mergeCell ref="P28:Q28"/>
    <mergeCell ref="AD5:AE5"/>
    <mergeCell ref="AD6:AE6"/>
    <mergeCell ref="AD7:AE7"/>
    <mergeCell ref="AD10:AE10"/>
    <mergeCell ref="AF10:AI10"/>
    <mergeCell ref="Y38:AB38"/>
    <mergeCell ref="W5:X5"/>
    <mergeCell ref="W6:X6"/>
    <mergeCell ref="W7:X7"/>
    <mergeCell ref="W10:X10"/>
    <mergeCell ref="W19:X19"/>
    <mergeCell ref="W20:X20"/>
    <mergeCell ref="W21:X21"/>
    <mergeCell ref="W24:X24"/>
    <mergeCell ref="W33:X33"/>
    <mergeCell ref="W34:X34"/>
    <mergeCell ref="W35:X35"/>
    <mergeCell ref="W38:X38"/>
    <mergeCell ref="Y24:AB24"/>
    <mergeCell ref="W26:X26"/>
    <mergeCell ref="W27:X27"/>
    <mergeCell ref="W28:X28"/>
    <mergeCell ref="W31:X31"/>
    <mergeCell ref="Y31:AB31"/>
    <mergeCell ref="AD19:AE19"/>
    <mergeCell ref="AD20:AE20"/>
    <mergeCell ref="AD21:AE21"/>
    <mergeCell ref="AD24:AE24"/>
    <mergeCell ref="AF24:AI24"/>
    <mergeCell ref="AD12:AE12"/>
    <mergeCell ref="AD13:AE13"/>
    <mergeCell ref="AD14:AE14"/>
    <mergeCell ref="AD17:AE17"/>
    <mergeCell ref="AF17:AI17"/>
    <mergeCell ref="AD33:AE33"/>
    <mergeCell ref="AD34:AE34"/>
    <mergeCell ref="AD35:AE35"/>
    <mergeCell ref="AD38:AE38"/>
    <mergeCell ref="AF38:AI38"/>
    <mergeCell ref="AD26:AE26"/>
    <mergeCell ref="AD27:AE27"/>
    <mergeCell ref="AD28:AE28"/>
    <mergeCell ref="AD31:AE31"/>
    <mergeCell ref="AF31:AI31"/>
  </mergeCells>
  <phoneticPr fontId="10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114300</xdr:rowOff>
                  </from>
                  <to>
                    <xdr:col>2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</xdr:col>
                    <xdr:colOff>47625</xdr:colOff>
                    <xdr:row>7</xdr:row>
                    <xdr:rowOff>114300</xdr:rowOff>
                  </from>
                  <to>
                    <xdr:col>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114300</xdr:rowOff>
                  </from>
                  <to>
                    <xdr:col>2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</xdr:col>
                    <xdr:colOff>47625</xdr:colOff>
                    <xdr:row>14</xdr:row>
                    <xdr:rowOff>114300</xdr:rowOff>
                  </from>
                  <to>
                    <xdr:col>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114300</xdr:rowOff>
                  </from>
                  <to>
                    <xdr:col>2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2</xdr:col>
                    <xdr:colOff>47625</xdr:colOff>
                    <xdr:row>21</xdr:row>
                    <xdr:rowOff>114300</xdr:rowOff>
                  </from>
                  <to>
                    <xdr:col>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114300</xdr:rowOff>
                  </from>
                  <to>
                    <xdr:col>2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defaultSize="0" autoFill="0" autoLine="0" autoPict="0">
                <anchor moveWithCells="1">
                  <from>
                    <xdr:col>2</xdr:col>
                    <xdr:colOff>47625</xdr:colOff>
                    <xdr:row>28</xdr:row>
                    <xdr:rowOff>114300</xdr:rowOff>
                  </from>
                  <to>
                    <xdr:col>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114300</xdr:rowOff>
                  </from>
                  <to>
                    <xdr:col>2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2</xdr:col>
                    <xdr:colOff>47625</xdr:colOff>
                    <xdr:row>35</xdr:row>
                    <xdr:rowOff>114300</xdr:rowOff>
                  </from>
                  <to>
                    <xdr:col>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Check Box 21">
              <controlPr defaultSize="0" autoFill="0" autoLine="0" autoPict="0">
                <anchor moveWithCells="1">
                  <from>
                    <xdr:col>8</xdr:col>
                    <xdr:colOff>47625</xdr:colOff>
                    <xdr:row>7</xdr:row>
                    <xdr:rowOff>114300</xdr:rowOff>
                  </from>
                  <to>
                    <xdr:col>9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Check Box 22">
              <controlPr defaultSize="0" autoFill="0" autoLine="0" autoPict="0">
                <anchor mov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10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Check Box 23">
              <controlPr defaultSize="0" autoFill="0" autoLine="0" autoPict="0">
                <anchor moveWithCells="1">
                  <from>
                    <xdr:col>8</xdr:col>
                    <xdr:colOff>47625</xdr:colOff>
                    <xdr:row>14</xdr:row>
                    <xdr:rowOff>114300</xdr:rowOff>
                  </from>
                  <to>
                    <xdr:col>9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7" name="Check Box 24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114300</xdr:rowOff>
                  </from>
                  <to>
                    <xdr:col>10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8" name="Check Box 25">
              <controlPr defaultSize="0" autoFill="0" autoLine="0" autoPict="0">
                <anchor moveWithCells="1">
                  <from>
                    <xdr:col>8</xdr:col>
                    <xdr:colOff>47625</xdr:colOff>
                    <xdr:row>21</xdr:row>
                    <xdr:rowOff>114300</xdr:rowOff>
                  </from>
                  <to>
                    <xdr:col>9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9" name="Check Box 26">
              <controlPr defaultSize="0" autoFill="0" autoLine="0" autoPict="0">
                <anchor moveWithCells="1">
                  <from>
                    <xdr:col>9</xdr:col>
                    <xdr:colOff>47625</xdr:colOff>
                    <xdr:row>21</xdr:row>
                    <xdr:rowOff>114300</xdr:rowOff>
                  </from>
                  <to>
                    <xdr:col>10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0" name="Check Box 27">
              <controlPr defaultSize="0" autoFill="0" autoLine="0" autoPict="0">
                <anchor moveWithCells="1">
                  <from>
                    <xdr:col>8</xdr:col>
                    <xdr:colOff>47625</xdr:colOff>
                    <xdr:row>28</xdr:row>
                    <xdr:rowOff>114300</xdr:rowOff>
                  </from>
                  <to>
                    <xdr:col>9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1" name="Check Box 28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114300</xdr:rowOff>
                  </from>
                  <to>
                    <xdr:col>10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2" name="Check Box 29">
              <controlPr defaultSize="0" autoFill="0" autoLine="0" autoPict="0">
                <anchor moveWithCells="1">
                  <from>
                    <xdr:col>8</xdr:col>
                    <xdr:colOff>47625</xdr:colOff>
                    <xdr:row>35</xdr:row>
                    <xdr:rowOff>114300</xdr:rowOff>
                  </from>
                  <to>
                    <xdr:col>9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3" name="Check Box 30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114300</xdr:rowOff>
                  </from>
                  <to>
                    <xdr:col>10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4" name="Check Box 31">
              <controlPr defaultSize="0" autoFill="0" autoLine="0" autoPict="0">
                <anchor moveWithCells="1">
                  <from>
                    <xdr:col>15</xdr:col>
                    <xdr:colOff>47625</xdr:colOff>
                    <xdr:row>7</xdr:row>
                    <xdr:rowOff>114300</xdr:rowOff>
                  </from>
                  <to>
                    <xdr:col>16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5" name="Check Box 32">
              <controlPr defaultSize="0" autoFill="0" autoLine="0" autoPict="0">
                <anchor moveWithCells="1">
                  <from>
                    <xdr:col>16</xdr:col>
                    <xdr:colOff>47625</xdr:colOff>
                    <xdr:row>7</xdr:row>
                    <xdr:rowOff>114300</xdr:rowOff>
                  </from>
                  <to>
                    <xdr:col>17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Check Box 3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114300</xdr:rowOff>
                  </from>
                  <to>
                    <xdr:col>16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Check Box 34">
              <controlPr defaultSize="0" autoFill="0" autoLine="0" autoPict="0">
                <anchor moveWithCells="1">
                  <from>
                    <xdr:col>16</xdr:col>
                    <xdr:colOff>47625</xdr:colOff>
                    <xdr:row>14</xdr:row>
                    <xdr:rowOff>114300</xdr:rowOff>
                  </from>
                  <to>
                    <xdr:col>17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8" name="Check Box 35">
              <controlPr defaultSize="0" autoFill="0" autoLine="0" autoPict="0">
                <anchor moveWithCells="1">
                  <from>
                    <xdr:col>15</xdr:col>
                    <xdr:colOff>47625</xdr:colOff>
                    <xdr:row>21</xdr:row>
                    <xdr:rowOff>114300</xdr:rowOff>
                  </from>
                  <to>
                    <xdr:col>16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9" name="Check Box 36">
              <controlPr defaultSize="0" autoFill="0" autoLine="0" autoPict="0">
                <anchor moveWithCells="1">
                  <from>
                    <xdr:col>16</xdr:col>
                    <xdr:colOff>47625</xdr:colOff>
                    <xdr:row>21</xdr:row>
                    <xdr:rowOff>114300</xdr:rowOff>
                  </from>
                  <to>
                    <xdr:col>17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0" name="Check Box 37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114300</xdr:rowOff>
                  </from>
                  <to>
                    <xdr:col>16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1" name="Check Box 38">
              <controlPr defaultSize="0" autoFill="0" autoLine="0" autoPict="0">
                <anchor moveWithCells="1">
                  <from>
                    <xdr:col>16</xdr:col>
                    <xdr:colOff>47625</xdr:colOff>
                    <xdr:row>28</xdr:row>
                    <xdr:rowOff>114300</xdr:rowOff>
                  </from>
                  <to>
                    <xdr:col>17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Check Box 39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114300</xdr:rowOff>
                  </from>
                  <to>
                    <xdr:col>16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Check Box 40">
              <controlPr defaultSize="0" autoFill="0" autoLine="0" autoPict="0">
                <anchor moveWithCells="1">
                  <from>
                    <xdr:col>16</xdr:col>
                    <xdr:colOff>47625</xdr:colOff>
                    <xdr:row>35</xdr:row>
                    <xdr:rowOff>114300</xdr:rowOff>
                  </from>
                  <to>
                    <xdr:col>17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34" name="Check Box 51">
              <controlPr defaultSize="0" autoFill="0" autoLine="0" autoPict="0">
                <anchor moveWithCells="1">
                  <from>
                    <xdr:col>22</xdr:col>
                    <xdr:colOff>47625</xdr:colOff>
                    <xdr:row>7</xdr:row>
                    <xdr:rowOff>114300</xdr:rowOff>
                  </from>
                  <to>
                    <xdr:col>23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35" name="Check Box 52">
              <controlPr defaultSize="0" autoFill="0" autoLine="0" autoPict="0">
                <anchor moveWithCells="1">
                  <from>
                    <xdr:col>23</xdr:col>
                    <xdr:colOff>47625</xdr:colOff>
                    <xdr:row>7</xdr:row>
                    <xdr:rowOff>114300</xdr:rowOff>
                  </from>
                  <to>
                    <xdr:col>24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36" name="Check Box 53">
              <controlPr defaultSize="0" autoFill="0" autoLine="0" autoPict="0">
                <anchor moveWithCells="1">
                  <from>
                    <xdr:col>22</xdr:col>
                    <xdr:colOff>47625</xdr:colOff>
                    <xdr:row>14</xdr:row>
                    <xdr:rowOff>114300</xdr:rowOff>
                  </from>
                  <to>
                    <xdr:col>23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37" name="Check Box 54">
              <controlPr defaultSize="0" autoFill="0" autoLine="0" autoPict="0">
                <anchor moveWithCells="1">
                  <from>
                    <xdr:col>23</xdr:col>
                    <xdr:colOff>47625</xdr:colOff>
                    <xdr:row>14</xdr:row>
                    <xdr:rowOff>114300</xdr:rowOff>
                  </from>
                  <to>
                    <xdr:col>24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38" name="Check Box 55">
              <controlPr defaultSize="0" autoFill="0" autoLine="0" autoPict="0">
                <anchor moveWithCells="1">
                  <from>
                    <xdr:col>22</xdr:col>
                    <xdr:colOff>47625</xdr:colOff>
                    <xdr:row>21</xdr:row>
                    <xdr:rowOff>114300</xdr:rowOff>
                  </from>
                  <to>
                    <xdr:col>23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39" name="Check Box 56">
              <controlPr defaultSize="0" autoFill="0" autoLine="0" autoPict="0">
                <anchor moveWithCells="1">
                  <from>
                    <xdr:col>23</xdr:col>
                    <xdr:colOff>47625</xdr:colOff>
                    <xdr:row>21</xdr:row>
                    <xdr:rowOff>114300</xdr:rowOff>
                  </from>
                  <to>
                    <xdr:col>24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0" name="Check Box 57">
              <controlPr defaultSize="0" autoFill="0" autoLine="0" autoPict="0">
                <anchor moveWithCells="1">
                  <from>
                    <xdr:col>22</xdr:col>
                    <xdr:colOff>47625</xdr:colOff>
                    <xdr:row>28</xdr:row>
                    <xdr:rowOff>114300</xdr:rowOff>
                  </from>
                  <to>
                    <xdr:col>23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41" name="Check Box 58">
              <controlPr defaultSize="0" autoFill="0" autoLine="0" autoPict="0">
                <anchor moveWithCells="1">
                  <from>
                    <xdr:col>23</xdr:col>
                    <xdr:colOff>47625</xdr:colOff>
                    <xdr:row>28</xdr:row>
                    <xdr:rowOff>114300</xdr:rowOff>
                  </from>
                  <to>
                    <xdr:col>24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42" name="Check Box 59">
              <controlPr defaultSize="0" autoFill="0" autoLine="0" autoPict="0">
                <anchor moveWithCells="1">
                  <from>
                    <xdr:col>22</xdr:col>
                    <xdr:colOff>47625</xdr:colOff>
                    <xdr:row>35</xdr:row>
                    <xdr:rowOff>114300</xdr:rowOff>
                  </from>
                  <to>
                    <xdr:col>23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43" name="Check Box 60">
              <controlPr defaultSize="0" autoFill="0" autoLine="0" autoPict="0">
                <anchor moveWithCells="1">
                  <from>
                    <xdr:col>23</xdr:col>
                    <xdr:colOff>47625</xdr:colOff>
                    <xdr:row>35</xdr:row>
                    <xdr:rowOff>114300</xdr:rowOff>
                  </from>
                  <to>
                    <xdr:col>24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44" name="Check Box 61">
              <controlPr defaultSize="0" autoFill="0" autoLine="0" autoPict="0">
                <anchor moveWithCells="1">
                  <from>
                    <xdr:col>29</xdr:col>
                    <xdr:colOff>47625</xdr:colOff>
                    <xdr:row>7</xdr:row>
                    <xdr:rowOff>114300</xdr:rowOff>
                  </from>
                  <to>
                    <xdr:col>30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45" name="Check Box 62">
              <controlPr defaultSize="0" autoFill="0" autoLine="0" autoPict="0">
                <anchor moveWithCells="1">
                  <from>
                    <xdr:col>30</xdr:col>
                    <xdr:colOff>47625</xdr:colOff>
                    <xdr:row>7</xdr:row>
                    <xdr:rowOff>114300</xdr:rowOff>
                  </from>
                  <to>
                    <xdr:col>31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46" name="Check Box 63">
              <controlPr defaultSize="0" autoFill="0" autoLine="0" autoPict="0">
                <anchor moveWithCells="1">
                  <from>
                    <xdr:col>29</xdr:col>
                    <xdr:colOff>47625</xdr:colOff>
                    <xdr:row>14</xdr:row>
                    <xdr:rowOff>114300</xdr:rowOff>
                  </from>
                  <to>
                    <xdr:col>30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47" name="Check Box 64">
              <controlPr defaultSize="0" autoFill="0" autoLine="0" autoPict="0">
                <anchor moveWithCells="1">
                  <from>
                    <xdr:col>30</xdr:col>
                    <xdr:colOff>47625</xdr:colOff>
                    <xdr:row>14</xdr:row>
                    <xdr:rowOff>114300</xdr:rowOff>
                  </from>
                  <to>
                    <xdr:col>31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48" name="Check Box 65">
              <controlPr defaultSize="0" autoFill="0" autoLine="0" autoPict="0">
                <anchor moveWithCells="1">
                  <from>
                    <xdr:col>29</xdr:col>
                    <xdr:colOff>47625</xdr:colOff>
                    <xdr:row>21</xdr:row>
                    <xdr:rowOff>114300</xdr:rowOff>
                  </from>
                  <to>
                    <xdr:col>30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49" name="Check Box 66">
              <controlPr defaultSize="0" autoFill="0" autoLine="0" autoPict="0">
                <anchor moveWithCells="1">
                  <from>
                    <xdr:col>30</xdr:col>
                    <xdr:colOff>47625</xdr:colOff>
                    <xdr:row>21</xdr:row>
                    <xdr:rowOff>114300</xdr:rowOff>
                  </from>
                  <to>
                    <xdr:col>31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0" name="Check Box 67">
              <controlPr defaultSize="0" autoFill="0" autoLine="0" autoPict="0">
                <anchor moveWithCells="1">
                  <from>
                    <xdr:col>29</xdr:col>
                    <xdr:colOff>47625</xdr:colOff>
                    <xdr:row>28</xdr:row>
                    <xdr:rowOff>114300</xdr:rowOff>
                  </from>
                  <to>
                    <xdr:col>30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1" name="Check Box 68">
              <controlPr defaultSize="0" autoFill="0" autoLine="0" autoPict="0">
                <anchor moveWithCells="1">
                  <from>
                    <xdr:col>30</xdr:col>
                    <xdr:colOff>47625</xdr:colOff>
                    <xdr:row>28</xdr:row>
                    <xdr:rowOff>114300</xdr:rowOff>
                  </from>
                  <to>
                    <xdr:col>31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52" name="Check Box 69">
              <controlPr defaultSize="0" autoFill="0" autoLine="0" autoPict="0">
                <anchor moveWithCells="1">
                  <from>
                    <xdr:col>29</xdr:col>
                    <xdr:colOff>47625</xdr:colOff>
                    <xdr:row>35</xdr:row>
                    <xdr:rowOff>114300</xdr:rowOff>
                  </from>
                  <to>
                    <xdr:col>30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53" name="Check Box 70">
              <controlPr defaultSize="0" autoFill="0" autoLine="0" autoPict="0">
                <anchor moveWithCells="1">
                  <from>
                    <xdr:col>30</xdr:col>
                    <xdr:colOff>47625</xdr:colOff>
                    <xdr:row>35</xdr:row>
                    <xdr:rowOff>114300</xdr:rowOff>
                  </from>
                  <to>
                    <xdr:col>31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54" name="Check Box 71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114300</xdr:rowOff>
                  </from>
                  <to>
                    <xdr:col>2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55" name="Check Box 72">
              <controlPr defaultSize="0" autoFill="0" autoLine="0" autoPict="0">
                <anchor moveWithCells="1">
                  <from>
                    <xdr:col>2</xdr:col>
                    <xdr:colOff>47625</xdr:colOff>
                    <xdr:row>7</xdr:row>
                    <xdr:rowOff>114300</xdr:rowOff>
                  </from>
                  <to>
                    <xdr:col>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56" name="Check Box 73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114300</xdr:rowOff>
                  </from>
                  <to>
                    <xdr:col>2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57" name="Check Box 74">
              <controlPr defaultSize="0" autoFill="0" autoLine="0" autoPict="0">
                <anchor moveWithCells="1">
                  <from>
                    <xdr:col>2</xdr:col>
                    <xdr:colOff>47625</xdr:colOff>
                    <xdr:row>14</xdr:row>
                    <xdr:rowOff>114300</xdr:rowOff>
                  </from>
                  <to>
                    <xdr:col>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58" name="Check Box 75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114300</xdr:rowOff>
                  </from>
                  <to>
                    <xdr:col>2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59" name="Check Box 76">
              <controlPr defaultSize="0" autoFill="0" autoLine="0" autoPict="0">
                <anchor moveWithCells="1">
                  <from>
                    <xdr:col>2</xdr:col>
                    <xdr:colOff>47625</xdr:colOff>
                    <xdr:row>21</xdr:row>
                    <xdr:rowOff>114300</xdr:rowOff>
                  </from>
                  <to>
                    <xdr:col>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60" name="Check Box 77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114300</xdr:rowOff>
                  </from>
                  <to>
                    <xdr:col>2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61" name="Check Box 78">
              <controlPr defaultSize="0" autoFill="0" autoLine="0" autoPict="0">
                <anchor moveWithCells="1">
                  <from>
                    <xdr:col>2</xdr:col>
                    <xdr:colOff>47625</xdr:colOff>
                    <xdr:row>28</xdr:row>
                    <xdr:rowOff>114300</xdr:rowOff>
                  </from>
                  <to>
                    <xdr:col>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62" name="Check Box 79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114300</xdr:rowOff>
                  </from>
                  <to>
                    <xdr:col>2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63" name="Check Box 80">
              <controlPr defaultSize="0" autoFill="0" autoLine="0" autoPict="0">
                <anchor moveWithCells="1">
                  <from>
                    <xdr:col>2</xdr:col>
                    <xdr:colOff>47625</xdr:colOff>
                    <xdr:row>35</xdr:row>
                    <xdr:rowOff>114300</xdr:rowOff>
                  </from>
                  <to>
                    <xdr:col>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64" name="Button 81">
              <controlPr defaultSize="0" print="0" autoFill="0" autoPict="0" macro="[0]!JIS1994_1">
                <anchor moveWithCells="1">
                  <from>
                    <xdr:col>4</xdr:col>
                    <xdr:colOff>190500</xdr:colOff>
                    <xdr:row>39</xdr:row>
                    <xdr:rowOff>104775</xdr:rowOff>
                  </from>
                  <to>
                    <xdr:col>5</xdr:col>
                    <xdr:colOff>257175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65" name="Button 82">
              <controlPr defaultSize="0" print="0" autoFill="0" autoPict="0" macro="[0]!JIS1994_2">
                <anchor moveWithCells="1">
                  <from>
                    <xdr:col>11</xdr:col>
                    <xdr:colOff>276225</xdr:colOff>
                    <xdr:row>39</xdr:row>
                    <xdr:rowOff>66675</xdr:rowOff>
                  </from>
                  <to>
                    <xdr:col>12</xdr:col>
                    <xdr:colOff>342900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66" name="Button 83">
              <controlPr defaultSize="0" print="0" autoFill="0" autoPict="0" macro="[0]!JIS1994_3">
                <anchor moveWithCells="1">
                  <from>
                    <xdr:col>18</xdr:col>
                    <xdr:colOff>47625</xdr:colOff>
                    <xdr:row>39</xdr:row>
                    <xdr:rowOff>0</xdr:rowOff>
                  </from>
                  <to>
                    <xdr:col>19</xdr:col>
                    <xdr:colOff>114300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67" name="Button 84">
              <controlPr defaultSize="0" print="0" autoFill="0" autoPict="0" macro="[0]!JIS1994_4">
                <anchor moveWithCells="1">
                  <from>
                    <xdr:col>25</xdr:col>
                    <xdr:colOff>9525</xdr:colOff>
                    <xdr:row>38</xdr:row>
                    <xdr:rowOff>152400</xdr:rowOff>
                  </from>
                  <to>
                    <xdr:col>26</xdr:col>
                    <xdr:colOff>76200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68" name="Button 85">
              <controlPr defaultSize="0" print="0" autoFill="0" autoPict="0" macro="[0]!JIS1994_5">
                <anchor moveWithCells="1">
                  <from>
                    <xdr:col>32</xdr:col>
                    <xdr:colOff>0</xdr:colOff>
                    <xdr:row>39</xdr:row>
                    <xdr:rowOff>9525</xdr:rowOff>
                  </from>
                  <to>
                    <xdr:col>33</xdr:col>
                    <xdr:colOff>66675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69" name="Check Box 86">
              <controlPr defaultSize="0" autoFill="0" autoLine="0" autoPict="0">
                <anchor moveWithCells="1">
                  <from>
                    <xdr:col>15</xdr:col>
                    <xdr:colOff>47625</xdr:colOff>
                    <xdr:row>7</xdr:row>
                    <xdr:rowOff>114300</xdr:rowOff>
                  </from>
                  <to>
                    <xdr:col>16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70" name="Check Box 87">
              <controlPr defaultSize="0" autoFill="0" autoLine="0" autoPict="0">
                <anchor moveWithCells="1">
                  <from>
                    <xdr:col>16</xdr:col>
                    <xdr:colOff>47625</xdr:colOff>
                    <xdr:row>7</xdr:row>
                    <xdr:rowOff>114300</xdr:rowOff>
                  </from>
                  <to>
                    <xdr:col>17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71" name="Check Box 88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114300</xdr:rowOff>
                  </from>
                  <to>
                    <xdr:col>16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72" name="Check Box 89">
              <controlPr defaultSize="0" autoFill="0" autoLine="0" autoPict="0">
                <anchor moveWithCells="1">
                  <from>
                    <xdr:col>16</xdr:col>
                    <xdr:colOff>47625</xdr:colOff>
                    <xdr:row>14</xdr:row>
                    <xdr:rowOff>114300</xdr:rowOff>
                  </from>
                  <to>
                    <xdr:col>17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73" name="Check Box 90">
              <controlPr defaultSize="0" autoFill="0" autoLine="0" autoPict="0">
                <anchor moveWithCells="1">
                  <from>
                    <xdr:col>15</xdr:col>
                    <xdr:colOff>47625</xdr:colOff>
                    <xdr:row>21</xdr:row>
                    <xdr:rowOff>114300</xdr:rowOff>
                  </from>
                  <to>
                    <xdr:col>16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74" name="Check Box 91">
              <controlPr defaultSize="0" autoFill="0" autoLine="0" autoPict="0">
                <anchor moveWithCells="1">
                  <from>
                    <xdr:col>16</xdr:col>
                    <xdr:colOff>47625</xdr:colOff>
                    <xdr:row>21</xdr:row>
                    <xdr:rowOff>114300</xdr:rowOff>
                  </from>
                  <to>
                    <xdr:col>17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75" name="Check Box 92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114300</xdr:rowOff>
                  </from>
                  <to>
                    <xdr:col>16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76" name="Check Box 93">
              <controlPr defaultSize="0" autoFill="0" autoLine="0" autoPict="0">
                <anchor moveWithCells="1">
                  <from>
                    <xdr:col>16</xdr:col>
                    <xdr:colOff>47625</xdr:colOff>
                    <xdr:row>28</xdr:row>
                    <xdr:rowOff>114300</xdr:rowOff>
                  </from>
                  <to>
                    <xdr:col>17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77" name="Check Box 94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114300</xdr:rowOff>
                  </from>
                  <to>
                    <xdr:col>16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78" name="Check Box 95">
              <controlPr defaultSize="0" autoFill="0" autoLine="0" autoPict="0">
                <anchor moveWithCells="1">
                  <from>
                    <xdr:col>16</xdr:col>
                    <xdr:colOff>47625</xdr:colOff>
                    <xdr:row>35</xdr:row>
                    <xdr:rowOff>114300</xdr:rowOff>
                  </from>
                  <to>
                    <xdr:col>17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79" name="Check Box 96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114300</xdr:rowOff>
                  </from>
                  <to>
                    <xdr:col>2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80" name="Check Box 97">
              <controlPr defaultSize="0" autoFill="0" autoLine="0" autoPict="0">
                <anchor moveWithCells="1">
                  <from>
                    <xdr:col>2</xdr:col>
                    <xdr:colOff>47625</xdr:colOff>
                    <xdr:row>7</xdr:row>
                    <xdr:rowOff>114300</xdr:rowOff>
                  </from>
                  <to>
                    <xdr:col>3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81" name="Check Box 98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114300</xdr:rowOff>
                  </from>
                  <to>
                    <xdr:col>2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82" name="Check Box 99">
              <controlPr defaultSize="0" autoFill="0" autoLine="0" autoPict="0">
                <anchor moveWithCells="1">
                  <from>
                    <xdr:col>2</xdr:col>
                    <xdr:colOff>47625</xdr:colOff>
                    <xdr:row>14</xdr:row>
                    <xdr:rowOff>114300</xdr:rowOff>
                  </from>
                  <to>
                    <xdr:col>3</xdr:col>
                    <xdr:colOff>9525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83" name="Check Box 100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114300</xdr:rowOff>
                  </from>
                  <to>
                    <xdr:col>2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84" name="Check Box 101">
              <controlPr defaultSize="0" autoFill="0" autoLine="0" autoPict="0">
                <anchor moveWithCells="1">
                  <from>
                    <xdr:col>2</xdr:col>
                    <xdr:colOff>47625</xdr:colOff>
                    <xdr:row>21</xdr:row>
                    <xdr:rowOff>114300</xdr:rowOff>
                  </from>
                  <to>
                    <xdr:col>3</xdr:col>
                    <xdr:colOff>9525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85" name="Check Box 10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114300</xdr:rowOff>
                  </from>
                  <to>
                    <xdr:col>2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86" name="Check Box 103">
              <controlPr defaultSize="0" autoFill="0" autoLine="0" autoPict="0">
                <anchor moveWithCells="1">
                  <from>
                    <xdr:col>2</xdr:col>
                    <xdr:colOff>47625</xdr:colOff>
                    <xdr:row>28</xdr:row>
                    <xdr:rowOff>114300</xdr:rowOff>
                  </from>
                  <to>
                    <xdr:col>3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87" name="Check Box 104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114300</xdr:rowOff>
                  </from>
                  <to>
                    <xdr:col>2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88" name="Check Box 105">
              <controlPr defaultSize="0" autoFill="0" autoLine="0" autoPict="0">
                <anchor moveWithCells="1">
                  <from>
                    <xdr:col>2</xdr:col>
                    <xdr:colOff>47625</xdr:colOff>
                    <xdr:row>35</xdr:row>
                    <xdr:rowOff>114300</xdr:rowOff>
                  </from>
                  <to>
                    <xdr:col>3</xdr:col>
                    <xdr:colOff>9525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6"/>
  <sheetViews>
    <sheetView zoomScale="55" zoomScaleNormal="55" workbookViewId="0">
      <selection activeCell="D39" sqref="D38:D39"/>
    </sheetView>
  </sheetViews>
  <sheetFormatPr defaultColWidth="9" defaultRowHeight="13.5"/>
  <cols>
    <col min="1" max="1" width="2.5" style="52" customWidth="1"/>
    <col min="2" max="2" width="9.5" style="52" customWidth="1"/>
    <col min="3" max="3" width="9.5" style="52" bestFit="1" customWidth="1"/>
    <col min="4" max="6" width="9" style="52"/>
    <col min="7" max="7" width="10" style="52" customWidth="1"/>
    <col min="8" max="16" width="9" style="52"/>
    <col min="17" max="17" width="9" style="52" customWidth="1"/>
    <col min="18" max="18" width="9.875" style="52" bestFit="1" customWidth="1"/>
    <col min="19" max="21" width="9" style="52" customWidth="1"/>
    <col min="22" max="22" width="9.875" style="52" bestFit="1" customWidth="1"/>
    <col min="23" max="23" width="9" style="52"/>
    <col min="24" max="24" width="10.125" style="52" bestFit="1" customWidth="1"/>
    <col min="25" max="29" width="9" style="52"/>
    <col min="30" max="30" width="9.125" style="52" bestFit="1" customWidth="1"/>
    <col min="31" max="16384" width="9" style="52"/>
  </cols>
  <sheetData>
    <row r="1" spans="1:47" ht="21" customHeight="1">
      <c r="A1" s="51"/>
      <c r="B1" s="51" t="s">
        <v>35</v>
      </c>
    </row>
    <row r="2" spans="1:47">
      <c r="G2" s="53" t="s">
        <v>82</v>
      </c>
    </row>
    <row r="3" spans="1:47">
      <c r="G3" s="54" t="s">
        <v>36</v>
      </c>
      <c r="P3" s="53" t="s">
        <v>162</v>
      </c>
    </row>
    <row r="4" spans="1:47" ht="14.25" thickBot="1">
      <c r="G4" s="54" t="s">
        <v>37</v>
      </c>
      <c r="P4" s="54" t="s">
        <v>163</v>
      </c>
    </row>
    <row r="5" spans="1:47">
      <c r="D5" s="457" t="s">
        <v>615</v>
      </c>
      <c r="G5" s="53" t="s">
        <v>390</v>
      </c>
      <c r="Y5" s="569" t="s">
        <v>492</v>
      </c>
      <c r="Z5" s="570"/>
      <c r="AA5" s="570"/>
      <c r="AB5" s="570"/>
      <c r="AC5" s="570"/>
      <c r="AD5" s="571"/>
      <c r="AE5" s="564"/>
      <c r="AF5" s="564"/>
      <c r="AG5" s="564"/>
      <c r="AH5" s="564"/>
      <c r="AI5" s="564"/>
      <c r="AJ5" s="564"/>
      <c r="AK5" s="564"/>
      <c r="AL5" s="564"/>
      <c r="AM5" s="564"/>
      <c r="AN5" s="564"/>
      <c r="AO5" s="564"/>
      <c r="AP5" s="564"/>
      <c r="AQ5" s="564"/>
      <c r="AR5" s="564"/>
      <c r="AS5" s="564"/>
      <c r="AT5" s="564"/>
      <c r="AU5" s="565"/>
    </row>
    <row r="6" spans="1:47" ht="14.25" thickBot="1">
      <c r="Y6" s="572"/>
      <c r="Z6" s="573"/>
      <c r="AA6" s="573"/>
      <c r="AB6" s="573"/>
      <c r="AC6" s="573"/>
      <c r="AD6" s="574"/>
      <c r="AE6" s="359" t="s">
        <v>493</v>
      </c>
      <c r="AF6" s="566" t="s">
        <v>494</v>
      </c>
      <c r="AG6" s="567"/>
      <c r="AH6" s="567"/>
      <c r="AI6" s="567"/>
      <c r="AJ6" s="567"/>
      <c r="AK6" s="567"/>
      <c r="AL6" s="567"/>
      <c r="AM6" s="567"/>
      <c r="AN6" s="567"/>
      <c r="AO6" s="567"/>
      <c r="AP6" s="568"/>
      <c r="AQ6" s="566" t="s">
        <v>495</v>
      </c>
      <c r="AR6" s="567"/>
      <c r="AS6" s="567"/>
      <c r="AT6" s="567"/>
      <c r="AU6" s="358"/>
    </row>
    <row r="7" spans="1:47" ht="64.5" customHeight="1" thickBot="1">
      <c r="B7" s="310" t="s">
        <v>38</v>
      </c>
      <c r="C7" s="311" t="s">
        <v>476</v>
      </c>
      <c r="D7" s="312" t="s">
        <v>39</v>
      </c>
      <c r="E7" s="313" t="s">
        <v>12</v>
      </c>
      <c r="F7" s="313" t="s">
        <v>6</v>
      </c>
      <c r="G7" s="313" t="s">
        <v>413</v>
      </c>
      <c r="H7" s="313" t="s">
        <v>23</v>
      </c>
      <c r="I7" s="313" t="s">
        <v>24</v>
      </c>
      <c r="J7" s="313" t="s">
        <v>40</v>
      </c>
      <c r="K7" s="313" t="s">
        <v>164</v>
      </c>
      <c r="L7" s="314" t="s">
        <v>41</v>
      </c>
      <c r="M7" s="315" t="s">
        <v>42</v>
      </c>
      <c r="N7" s="315" t="s">
        <v>165</v>
      </c>
      <c r="O7" s="316" t="s">
        <v>43</v>
      </c>
      <c r="P7" s="313" t="s">
        <v>20</v>
      </c>
      <c r="Q7" s="315" t="s">
        <v>166</v>
      </c>
      <c r="R7" s="315" t="s">
        <v>565</v>
      </c>
      <c r="S7" s="313" t="s">
        <v>21</v>
      </c>
      <c r="T7" s="313" t="s">
        <v>31</v>
      </c>
      <c r="U7" s="313" t="s">
        <v>22</v>
      </c>
      <c r="V7" s="313" t="s">
        <v>44</v>
      </c>
      <c r="W7" s="313" t="s">
        <v>45</v>
      </c>
      <c r="X7" s="308" t="s">
        <v>46</v>
      </c>
      <c r="Y7" s="362" t="s">
        <v>407</v>
      </c>
      <c r="Z7" s="249" t="s">
        <v>408</v>
      </c>
      <c r="AA7" s="248" t="s">
        <v>409</v>
      </c>
      <c r="AB7" s="249" t="s">
        <v>410</v>
      </c>
      <c r="AC7" s="309" t="s">
        <v>411</v>
      </c>
      <c r="AD7" s="363" t="s">
        <v>412</v>
      </c>
      <c r="AE7" s="318" t="s">
        <v>423</v>
      </c>
      <c r="AF7" s="318" t="s">
        <v>502</v>
      </c>
      <c r="AG7" s="318" t="s">
        <v>424</v>
      </c>
      <c r="AH7" s="318" t="s">
        <v>425</v>
      </c>
      <c r="AI7" s="318" t="s">
        <v>496</v>
      </c>
      <c r="AJ7" s="318" t="s">
        <v>498</v>
      </c>
      <c r="AK7" s="319" t="s">
        <v>28</v>
      </c>
      <c r="AL7" s="319" t="s">
        <v>479</v>
      </c>
      <c r="AM7" s="319" t="s">
        <v>480</v>
      </c>
      <c r="AN7" s="319" t="s">
        <v>481</v>
      </c>
      <c r="AO7" s="319" t="s">
        <v>484</v>
      </c>
      <c r="AP7" s="319" t="s">
        <v>485</v>
      </c>
      <c r="AQ7" s="318" t="s">
        <v>503</v>
      </c>
      <c r="AR7" s="318" t="s">
        <v>426</v>
      </c>
      <c r="AS7" s="318" t="s">
        <v>497</v>
      </c>
      <c r="AT7" s="318" t="s">
        <v>499</v>
      </c>
      <c r="AU7" s="320" t="s">
        <v>11</v>
      </c>
    </row>
    <row r="8" spans="1:47">
      <c r="B8" s="397"/>
      <c r="C8" s="398"/>
      <c r="D8" s="438"/>
      <c r="E8" s="438" t="s">
        <v>336</v>
      </c>
      <c r="F8" s="438"/>
      <c r="G8" s="438"/>
      <c r="H8" s="439"/>
      <c r="I8" s="439"/>
      <c r="J8" s="438" t="str">
        <f>IFERROR(VLOOKUP($E8,【変更不可】!$AJ$10:$AS$41, 4, FALSE)&amp;"", "")</f>
        <v>幅広ガン</v>
      </c>
      <c r="K8" s="438" t="str">
        <f>IFERROR(VLOOKUP($E8,【変更不可】!$AJ$10:$AS$41, 5, FALSE)&amp;"", "")</f>
        <v>1*320</v>
      </c>
      <c r="L8" s="438" t="str">
        <f>IFERROR(VLOOKUP($E8,【変更不可】!$AJ$10:$AS$41, 6, FALSE)&amp;"", "")</f>
        <v>φ2.0</v>
      </c>
      <c r="M8" s="438" t="str">
        <f>IFERROR(VLOOKUP($E8,【変更不可】!$AJ$10:$AS$41, 7, FALSE)&amp;"", "")</f>
        <v/>
      </c>
      <c r="N8" s="438" t="str">
        <f>IFERROR(VLOOKUP($E8,【変更不可】!$AJ$10:$AS$41, 8, FALSE)&amp;"", "")</f>
        <v>SJ</v>
      </c>
      <c r="O8" s="438" t="str">
        <f>IFERROR(VLOOKUP($E8,【変更不可】!$AJ$10:$AS$41, 9, FALSE)&amp;"", "")</f>
        <v>φ1.2</v>
      </c>
      <c r="P8" s="399"/>
      <c r="Q8" s="399"/>
      <c r="R8" s="324">
        <f>IF(COUNTIF(【変更不可】!AJ$10:AJ$41,E8),Q8*(VLOOKUP($E8,【変更不可】!AJ$10:AS$41,10,FALSE)),Q8)</f>
        <v>0</v>
      </c>
      <c r="S8" s="399"/>
      <c r="T8" s="399"/>
      <c r="U8" s="400"/>
      <c r="V8" s="399"/>
      <c r="W8" s="399"/>
      <c r="X8" s="401"/>
      <c r="Y8" s="402"/>
      <c r="Z8" s="403"/>
      <c r="AA8" s="403"/>
      <c r="AB8" s="403"/>
      <c r="AC8" s="399"/>
      <c r="AD8" s="404"/>
      <c r="AE8" s="405"/>
      <c r="AF8" s="406"/>
      <c r="AG8" s="406"/>
      <c r="AH8" s="406"/>
      <c r="AI8" s="406"/>
      <c r="AJ8" s="406"/>
      <c r="AK8" s="406"/>
      <c r="AL8" s="406"/>
      <c r="AM8" s="406"/>
      <c r="AN8" s="406"/>
      <c r="AO8" s="406"/>
      <c r="AP8" s="406"/>
      <c r="AQ8" s="406"/>
      <c r="AR8" s="406"/>
      <c r="AS8" s="406"/>
      <c r="AT8" s="406"/>
      <c r="AU8" s="407"/>
    </row>
    <row r="9" spans="1:47">
      <c r="B9" s="408"/>
      <c r="C9" s="409"/>
      <c r="D9" s="410"/>
      <c r="E9" s="410"/>
      <c r="F9" s="410"/>
      <c r="G9" s="410"/>
      <c r="H9" s="411"/>
      <c r="I9" s="411"/>
      <c r="J9" s="410" t="str">
        <f>IFERROR(VLOOKUP($E9,【変更不可】!$AJ$10:$AS$41, 4, FALSE)&amp;"", "")</f>
        <v/>
      </c>
      <c r="K9" s="410" t="str">
        <f>IFERROR(VLOOKUP($E9,【変更不可】!$AJ$10:$AS$41, 5, FALSE)&amp;"", "")</f>
        <v/>
      </c>
      <c r="L9" s="410" t="str">
        <f>IFERROR(VLOOKUP($E9,【変更不可】!$AJ$10:$AS$41, 6, FALSE)&amp;"", "")</f>
        <v/>
      </c>
      <c r="M9" s="410" t="str">
        <f>IFERROR(VLOOKUP($E9,【変更不可】!$AJ$10:$AS$41, 7, FALSE)&amp;"", "")</f>
        <v/>
      </c>
      <c r="N9" s="410" t="str">
        <f>IFERROR(VLOOKUP($E9,【変更不可】!$AJ$10:$AS$41, 8, FALSE)&amp;"", "")</f>
        <v/>
      </c>
      <c r="O9" s="410" t="str">
        <f>IFERROR(VLOOKUP($E9,【変更不可】!$AJ$10:$AS$41, 9, FALSE)&amp;"", "")</f>
        <v/>
      </c>
      <c r="P9" s="412"/>
      <c r="Q9" s="412"/>
      <c r="R9" s="324">
        <f>IF(COUNTIF(【変更不可】!AJ$10:AJ$41,E9),Q9*(VLOOKUP($E9,【変更不可】!AJ$10:AS$41,10,FALSE)),Q9)</f>
        <v>0</v>
      </c>
      <c r="S9" s="412"/>
      <c r="T9" s="412"/>
      <c r="U9" s="413"/>
      <c r="V9" s="412"/>
      <c r="W9" s="412"/>
      <c r="X9" s="414"/>
      <c r="Y9" s="415"/>
      <c r="Z9" s="416"/>
      <c r="AA9" s="416"/>
      <c r="AB9" s="416"/>
      <c r="AC9" s="412"/>
      <c r="AD9" s="417"/>
      <c r="AE9" s="418"/>
      <c r="AF9" s="419"/>
      <c r="AG9" s="419"/>
      <c r="AH9" s="419"/>
      <c r="AI9" s="419"/>
      <c r="AJ9" s="419"/>
      <c r="AK9" s="419"/>
      <c r="AL9" s="419"/>
      <c r="AM9" s="419"/>
      <c r="AN9" s="419"/>
      <c r="AO9" s="419"/>
      <c r="AP9" s="419"/>
      <c r="AQ9" s="419"/>
      <c r="AR9" s="419"/>
      <c r="AS9" s="419"/>
      <c r="AT9" s="419"/>
      <c r="AU9" s="420"/>
    </row>
    <row r="10" spans="1:47">
      <c r="B10" s="408"/>
      <c r="C10" s="409"/>
      <c r="D10" s="410"/>
      <c r="E10" s="410"/>
      <c r="F10" s="410"/>
      <c r="G10" s="410"/>
      <c r="H10" s="411"/>
      <c r="I10" s="411"/>
      <c r="J10" s="410" t="str">
        <f>IFERROR(VLOOKUP($E10,【変更不可】!$AJ$10:$AS$41, 4, FALSE)&amp;"", "")</f>
        <v/>
      </c>
      <c r="K10" s="410" t="str">
        <f>IFERROR(VLOOKUP($E10,【変更不可】!$AJ$10:$AS$41, 5, FALSE)&amp;"", "")</f>
        <v/>
      </c>
      <c r="L10" s="410" t="str">
        <f>IFERROR(VLOOKUP($E10,【変更不可】!$AJ$10:$AS$41, 6, FALSE)&amp;"", "")</f>
        <v/>
      </c>
      <c r="M10" s="410" t="str">
        <f>IFERROR(VLOOKUP($E10,【変更不可】!$AJ$10:$AS$41, 7, FALSE)&amp;"", "")</f>
        <v/>
      </c>
      <c r="N10" s="410" t="str">
        <f>IFERROR(VLOOKUP($E10,【変更不可】!$AJ$10:$AS$41, 8, FALSE)&amp;"", "")</f>
        <v/>
      </c>
      <c r="O10" s="410" t="str">
        <f>IFERROR(VLOOKUP($E10,【変更不可】!$AJ$10:$AS$41, 9, FALSE)&amp;"", "")</f>
        <v/>
      </c>
      <c r="P10" s="412"/>
      <c r="Q10" s="412"/>
      <c r="R10" s="324">
        <f>IF(COUNTIF(【変更不可】!AJ$10:AJ$41,E10),Q10*(VLOOKUP($E10,【変更不可】!AJ$10:AS$41,10,FALSE)),Q10)</f>
        <v>0</v>
      </c>
      <c r="S10" s="412"/>
      <c r="T10" s="412"/>
      <c r="U10" s="413"/>
      <c r="V10" s="412"/>
      <c r="W10" s="412"/>
      <c r="X10" s="414"/>
      <c r="Y10" s="415"/>
      <c r="Z10" s="416"/>
      <c r="AA10" s="416"/>
      <c r="AB10" s="416"/>
      <c r="AC10" s="412"/>
      <c r="AD10" s="417"/>
      <c r="AE10" s="418"/>
      <c r="AF10" s="419"/>
      <c r="AG10" s="419"/>
      <c r="AH10" s="419"/>
      <c r="AI10" s="419"/>
      <c r="AJ10" s="419"/>
      <c r="AK10" s="419"/>
      <c r="AL10" s="419"/>
      <c r="AM10" s="419"/>
      <c r="AN10" s="419"/>
      <c r="AO10" s="419"/>
      <c r="AP10" s="419"/>
      <c r="AQ10" s="419"/>
      <c r="AR10" s="419"/>
      <c r="AS10" s="419"/>
      <c r="AT10" s="419"/>
      <c r="AU10" s="420"/>
    </row>
    <row r="11" spans="1:47">
      <c r="B11" s="421"/>
      <c r="C11" s="422"/>
      <c r="D11" s="423"/>
      <c r="E11" s="423"/>
      <c r="F11" s="423"/>
      <c r="G11" s="423"/>
      <c r="H11" s="424"/>
      <c r="I11" s="424"/>
      <c r="J11" s="423" t="str">
        <f>IFERROR(VLOOKUP($E11,【変更不可】!$AJ$10:$AS$41, 4, FALSE)&amp;"", "")</f>
        <v/>
      </c>
      <c r="K11" s="423" t="str">
        <f>IFERROR(VLOOKUP($E11,【変更不可】!$AJ$10:$AS$41, 5, FALSE)&amp;"", "")</f>
        <v/>
      </c>
      <c r="L11" s="423" t="str">
        <f>IFERROR(VLOOKUP($E11,【変更不可】!$AJ$10:$AS$41, 6, FALSE)&amp;"", "")</f>
        <v/>
      </c>
      <c r="M11" s="423" t="str">
        <f>IFERROR(VLOOKUP($E11,【変更不可】!$AJ$10:$AS$41, 7, FALSE)&amp;"", "")</f>
        <v/>
      </c>
      <c r="N11" s="423" t="str">
        <f>IFERROR(VLOOKUP($E11,【変更不可】!$AJ$10:$AS$41, 8, FALSE)&amp;"", "")</f>
        <v/>
      </c>
      <c r="O11" s="423" t="str">
        <f>IFERROR(VLOOKUP($E11,【変更不可】!$AJ$10:$AS$41, 9, FALSE)&amp;"", "")</f>
        <v/>
      </c>
      <c r="P11" s="425"/>
      <c r="Q11" s="425"/>
      <c r="R11" s="324">
        <f>IF(COUNTIF(【変更不可】!AJ$10:AJ$41,E11),Q11*(VLOOKUP($E11,【変更不可】!AJ$10:AS$41,10,FALSE)),Q11)</f>
        <v>0</v>
      </c>
      <c r="S11" s="425"/>
      <c r="T11" s="425"/>
      <c r="U11" s="426"/>
      <c r="V11" s="425"/>
      <c r="W11" s="425"/>
      <c r="X11" s="427"/>
      <c r="Y11" s="428"/>
      <c r="Z11" s="429"/>
      <c r="AA11" s="429"/>
      <c r="AB11" s="429"/>
      <c r="AC11" s="425"/>
      <c r="AD11" s="430"/>
      <c r="AE11" s="431"/>
      <c r="AF11" s="432"/>
      <c r="AG11" s="432"/>
      <c r="AH11" s="432"/>
      <c r="AI11" s="432"/>
      <c r="AJ11" s="432"/>
      <c r="AK11" s="432"/>
      <c r="AL11" s="432"/>
      <c r="AM11" s="432"/>
      <c r="AN11" s="432"/>
      <c r="AO11" s="432"/>
      <c r="AP11" s="432"/>
      <c r="AQ11" s="432"/>
      <c r="AR11" s="432"/>
      <c r="AS11" s="432"/>
      <c r="AT11" s="432"/>
      <c r="AU11" s="433"/>
    </row>
    <row r="12" spans="1:47">
      <c r="B12" s="434"/>
      <c r="C12" s="435"/>
      <c r="D12" s="436"/>
      <c r="E12" s="436"/>
      <c r="F12" s="323"/>
      <c r="G12" s="323"/>
      <c r="H12" s="322"/>
      <c r="I12" s="322"/>
      <c r="J12" s="323" t="str">
        <f>IFERROR(VLOOKUP($E12,【変更不可】!$AJ$10:$AS$41, 4, FALSE)&amp;"", "")</f>
        <v/>
      </c>
      <c r="K12" s="323" t="str">
        <f>IFERROR(VLOOKUP($E12,【変更不可】!$AJ$10:$AS$41, 5, FALSE)&amp;"", "")</f>
        <v/>
      </c>
      <c r="L12" s="323" t="str">
        <f>IFERROR(VLOOKUP($E12,【変更不可】!$AJ$10:$AS$41, 6, FALSE)&amp;"", "")</f>
        <v/>
      </c>
      <c r="M12" s="323" t="str">
        <f>IFERROR(VLOOKUP($E12,【変更不可】!$AJ$10:$AS$41, 7, FALSE)&amp;"", "")</f>
        <v/>
      </c>
      <c r="N12" s="323" t="str">
        <f>IFERROR(VLOOKUP($E12,【変更不可】!$AJ$10:$AS$41, 8, FALSE)&amp;"", "")</f>
        <v/>
      </c>
      <c r="O12" s="323" t="str">
        <f>IFERROR(VLOOKUP($E12,【変更不可】!$AJ$10:$AS$41, 9, FALSE)&amp;"", "")</f>
        <v/>
      </c>
      <c r="P12" s="324"/>
      <c r="Q12" s="324"/>
      <c r="R12" s="324">
        <f>IF(COUNTIF(【変更不可】!AJ$10:AJ$41,E12),Q12*(VLOOKUP($E12,【変更不可】!AJ$10:AS$41,10,FALSE)),Q12)</f>
        <v>0</v>
      </c>
      <c r="S12" s="324"/>
      <c r="T12" s="324"/>
      <c r="U12" s="327"/>
      <c r="V12" s="324"/>
      <c r="W12" s="324"/>
      <c r="X12" s="328"/>
      <c r="Y12" s="364"/>
      <c r="Z12" s="338"/>
      <c r="AA12" s="338"/>
      <c r="AB12" s="338"/>
      <c r="AC12" s="324"/>
      <c r="AD12" s="365"/>
      <c r="AE12" s="360"/>
      <c r="AF12" s="353"/>
      <c r="AG12" s="353"/>
      <c r="AH12" s="353"/>
      <c r="AI12" s="353"/>
      <c r="AJ12" s="353"/>
      <c r="AK12" s="353"/>
      <c r="AL12" s="353"/>
      <c r="AM12" s="353"/>
      <c r="AN12" s="353"/>
      <c r="AO12" s="353"/>
      <c r="AP12" s="353"/>
      <c r="AQ12" s="353"/>
      <c r="AR12" s="353"/>
      <c r="AS12" s="353"/>
      <c r="AT12" s="353"/>
      <c r="AU12" s="354"/>
    </row>
    <row r="13" spans="1:47">
      <c r="B13" s="325"/>
      <c r="C13" s="326"/>
      <c r="D13" s="323"/>
      <c r="E13" s="323"/>
      <c r="F13" s="323"/>
      <c r="G13" s="323"/>
      <c r="H13" s="322"/>
      <c r="I13" s="322"/>
      <c r="J13" s="323" t="str">
        <f>IFERROR(VLOOKUP($E13,【変更不可】!$AJ$10:$AS$41, 4, FALSE)&amp;"", "")</f>
        <v/>
      </c>
      <c r="K13" s="323" t="str">
        <f>IFERROR(VLOOKUP($E13,【変更不可】!$AJ$10:$AS$41, 5, FALSE)&amp;"", "")</f>
        <v/>
      </c>
      <c r="L13" s="323" t="str">
        <f>IFERROR(VLOOKUP($E13,【変更不可】!$AJ$10:$AS$41, 6, FALSE)&amp;"", "")</f>
        <v/>
      </c>
      <c r="M13" s="323" t="str">
        <f>IFERROR(VLOOKUP($E13,【変更不可】!$AJ$10:$AS$41, 7, FALSE)&amp;"", "")</f>
        <v/>
      </c>
      <c r="N13" s="323" t="str">
        <f>IFERROR(VLOOKUP($E13,【変更不可】!$AJ$10:$AS$41, 8, FALSE)&amp;"", "")</f>
        <v/>
      </c>
      <c r="O13" s="323" t="str">
        <f>IFERROR(VLOOKUP($E13,【変更不可】!$AJ$10:$AS$41, 9, FALSE)&amp;"", "")</f>
        <v/>
      </c>
      <c r="P13" s="324"/>
      <c r="Q13" s="324"/>
      <c r="R13" s="324">
        <f>IF(COUNTIF(【変更不可】!AJ$10:AJ$41,E13),Q13*(VLOOKUP($E13,【変更不可】!AJ$10:AS$41,10,FALSE)),Q13)</f>
        <v>0</v>
      </c>
      <c r="S13" s="324"/>
      <c r="T13" s="324"/>
      <c r="U13" s="327"/>
      <c r="V13" s="324"/>
      <c r="W13" s="324"/>
      <c r="X13" s="328"/>
      <c r="Y13" s="364"/>
      <c r="Z13" s="338"/>
      <c r="AA13" s="338"/>
      <c r="AB13" s="338"/>
      <c r="AC13" s="324"/>
      <c r="AD13" s="365"/>
      <c r="AE13" s="360"/>
      <c r="AF13" s="353"/>
      <c r="AG13" s="353"/>
      <c r="AH13" s="353"/>
      <c r="AI13" s="353"/>
      <c r="AJ13" s="353"/>
      <c r="AK13" s="353"/>
      <c r="AL13" s="353"/>
      <c r="AM13" s="353"/>
      <c r="AN13" s="353"/>
      <c r="AO13" s="353"/>
      <c r="AP13" s="353"/>
      <c r="AQ13" s="353"/>
      <c r="AR13" s="353"/>
      <c r="AS13" s="353"/>
      <c r="AT13" s="353"/>
      <c r="AU13" s="354"/>
    </row>
    <row r="14" spans="1:47">
      <c r="B14" s="325"/>
      <c r="C14" s="326"/>
      <c r="D14" s="323"/>
      <c r="E14" s="323"/>
      <c r="F14" s="323"/>
      <c r="G14" s="323"/>
      <c r="H14" s="322"/>
      <c r="I14" s="322"/>
      <c r="J14" s="323" t="str">
        <f>IFERROR(VLOOKUP($E14,【変更不可】!$AJ$10:$AS$41, 4, FALSE)&amp;"", "")</f>
        <v/>
      </c>
      <c r="K14" s="323" t="str">
        <f>IFERROR(VLOOKUP($E14,【変更不可】!$AJ$10:$AS$41, 5, FALSE)&amp;"", "")</f>
        <v/>
      </c>
      <c r="L14" s="323" t="str">
        <f>IFERROR(VLOOKUP($E14,【変更不可】!$AJ$10:$AS$41, 6, FALSE)&amp;"", "")</f>
        <v/>
      </c>
      <c r="M14" s="323" t="str">
        <f>IFERROR(VLOOKUP($E14,【変更不可】!$AJ$10:$AS$41, 7, FALSE)&amp;"", "")</f>
        <v/>
      </c>
      <c r="N14" s="323" t="str">
        <f>IFERROR(VLOOKUP($E14,【変更不可】!$AJ$10:$AS$41, 8, FALSE)&amp;"", "")</f>
        <v/>
      </c>
      <c r="O14" s="323" t="str">
        <f>IFERROR(VLOOKUP($E14,【変更不可】!$AJ$10:$AS$41, 9, FALSE)&amp;"", "")</f>
        <v/>
      </c>
      <c r="P14" s="324"/>
      <c r="Q14" s="324"/>
      <c r="R14" s="324">
        <f>IF(COUNTIF(【変更不可】!AJ$10:AJ$41,E14),Q14*(VLOOKUP($E14,【変更不可】!AJ$10:AS$41,10,FALSE)),Q14)</f>
        <v>0</v>
      </c>
      <c r="S14" s="324"/>
      <c r="T14" s="324"/>
      <c r="U14" s="327"/>
      <c r="V14" s="324"/>
      <c r="W14" s="324"/>
      <c r="X14" s="328"/>
      <c r="Y14" s="364"/>
      <c r="Z14" s="338"/>
      <c r="AA14" s="338"/>
      <c r="AB14" s="338"/>
      <c r="AC14" s="324"/>
      <c r="AD14" s="365"/>
      <c r="AE14" s="360"/>
      <c r="AF14" s="353"/>
      <c r="AG14" s="353"/>
      <c r="AH14" s="353"/>
      <c r="AI14" s="353"/>
      <c r="AJ14" s="353"/>
      <c r="AK14" s="353"/>
      <c r="AL14" s="353"/>
      <c r="AM14" s="353"/>
      <c r="AN14" s="353"/>
      <c r="AO14" s="353"/>
      <c r="AP14" s="353"/>
      <c r="AQ14" s="353"/>
      <c r="AR14" s="353"/>
      <c r="AS14" s="353"/>
      <c r="AT14" s="353"/>
      <c r="AU14" s="354"/>
    </row>
    <row r="15" spans="1:47">
      <c r="B15" s="325"/>
      <c r="C15" s="326"/>
      <c r="D15" s="323"/>
      <c r="E15" s="323"/>
      <c r="F15" s="323"/>
      <c r="G15" s="323"/>
      <c r="H15" s="322"/>
      <c r="I15" s="322"/>
      <c r="J15" s="323" t="str">
        <f>IFERROR(VLOOKUP($E15,【変更不可】!$AJ$10:$AS$41, 4, FALSE)&amp;"", "")</f>
        <v/>
      </c>
      <c r="K15" s="323" t="str">
        <f>IFERROR(VLOOKUP($E15,【変更不可】!$AJ$10:$AS$41, 5, FALSE)&amp;"", "")</f>
        <v/>
      </c>
      <c r="L15" s="323" t="str">
        <f>IFERROR(VLOOKUP($E15,【変更不可】!$AJ$10:$AS$41, 6, FALSE)&amp;"", "")</f>
        <v/>
      </c>
      <c r="M15" s="323" t="str">
        <f>IFERROR(VLOOKUP($E15,【変更不可】!$AJ$10:$AS$41, 7, FALSE)&amp;"", "")</f>
        <v/>
      </c>
      <c r="N15" s="323" t="str">
        <f>IFERROR(VLOOKUP($E15,【変更不可】!$AJ$10:$AS$41, 8, FALSE)&amp;"", "")</f>
        <v/>
      </c>
      <c r="O15" s="323" t="str">
        <f>IFERROR(VLOOKUP($E15,【変更不可】!$AJ$10:$AS$41, 9, FALSE)&amp;"", "")</f>
        <v/>
      </c>
      <c r="P15" s="324"/>
      <c r="Q15" s="324"/>
      <c r="R15" s="324">
        <f>IF(COUNTIF(【変更不可】!AJ$10:AJ$41,E15),Q15*(VLOOKUP($E15,【変更不可】!AJ$10:AS$41,10,FALSE)),Q15)</f>
        <v>0</v>
      </c>
      <c r="S15" s="324"/>
      <c r="T15" s="324"/>
      <c r="U15" s="327"/>
      <c r="V15" s="324"/>
      <c r="W15" s="324"/>
      <c r="X15" s="329"/>
      <c r="Y15" s="352"/>
      <c r="Z15" s="338"/>
      <c r="AA15" s="338"/>
      <c r="AB15" s="338"/>
      <c r="AC15" s="324"/>
      <c r="AD15" s="354"/>
      <c r="AE15" s="360"/>
      <c r="AF15" s="353"/>
      <c r="AG15" s="353"/>
      <c r="AH15" s="353"/>
      <c r="AI15" s="353"/>
      <c r="AJ15" s="353"/>
      <c r="AK15" s="353"/>
      <c r="AL15" s="353"/>
      <c r="AM15" s="353"/>
      <c r="AN15" s="353"/>
      <c r="AO15" s="353"/>
      <c r="AP15" s="353"/>
      <c r="AQ15" s="353"/>
      <c r="AR15" s="353"/>
      <c r="AS15" s="353"/>
      <c r="AT15" s="353"/>
      <c r="AU15" s="354"/>
    </row>
    <row r="16" spans="1:47">
      <c r="B16" s="325"/>
      <c r="C16" s="326"/>
      <c r="D16" s="323"/>
      <c r="E16" s="323"/>
      <c r="F16" s="323"/>
      <c r="G16" s="323"/>
      <c r="H16" s="322"/>
      <c r="I16" s="322"/>
      <c r="J16" s="323" t="str">
        <f>IFERROR(VLOOKUP($E16,【変更不可】!$AJ$10:$AS$41, 4, FALSE)&amp;"", "")</f>
        <v/>
      </c>
      <c r="K16" s="323" t="str">
        <f>IFERROR(VLOOKUP($E16,【変更不可】!$AJ$10:$AS$41, 5, FALSE)&amp;"", "")</f>
        <v/>
      </c>
      <c r="L16" s="323" t="str">
        <f>IFERROR(VLOOKUP($E16,【変更不可】!$AJ$10:$AS$41, 6, FALSE)&amp;"", "")</f>
        <v/>
      </c>
      <c r="M16" s="323" t="str">
        <f>IFERROR(VLOOKUP($E16,【変更不可】!$AJ$10:$AS$41, 7, FALSE)&amp;"", "")</f>
        <v/>
      </c>
      <c r="N16" s="323" t="str">
        <f>IFERROR(VLOOKUP($E16,【変更不可】!$AJ$10:$AS$41, 8, FALSE)&amp;"", "")</f>
        <v/>
      </c>
      <c r="O16" s="323" t="str">
        <f>IFERROR(VLOOKUP($E16,【変更不可】!$AJ$10:$AS$41, 9, FALSE)&amp;"", "")</f>
        <v/>
      </c>
      <c r="P16" s="324"/>
      <c r="Q16" s="324"/>
      <c r="R16" s="324">
        <f>IF(COUNTIF(【変更不可】!AJ$10:AJ$41,E16),Q16*(VLOOKUP($E16,【変更不可】!AJ$10:AS$41,10,FALSE)),Q16)</f>
        <v>0</v>
      </c>
      <c r="S16" s="324"/>
      <c r="T16" s="324"/>
      <c r="U16" s="327"/>
      <c r="V16" s="324"/>
      <c r="W16" s="324"/>
      <c r="X16" s="328"/>
      <c r="Y16" s="364"/>
      <c r="Z16" s="338"/>
      <c r="AA16" s="338"/>
      <c r="AB16" s="338"/>
      <c r="AC16" s="324"/>
      <c r="AD16" s="365"/>
      <c r="AE16" s="360"/>
      <c r="AF16" s="353"/>
      <c r="AG16" s="353"/>
      <c r="AH16" s="353"/>
      <c r="AI16" s="353"/>
      <c r="AJ16" s="353"/>
      <c r="AK16" s="353"/>
      <c r="AL16" s="353"/>
      <c r="AM16" s="353"/>
      <c r="AN16" s="353"/>
      <c r="AO16" s="353"/>
      <c r="AP16" s="353"/>
      <c r="AQ16" s="353"/>
      <c r="AR16" s="353"/>
      <c r="AS16" s="353"/>
      <c r="AT16" s="353"/>
      <c r="AU16" s="354"/>
    </row>
    <row r="17" spans="2:47" ht="14.25" thickBot="1">
      <c r="B17" s="332"/>
      <c r="C17" s="333"/>
      <c r="D17" s="55"/>
      <c r="E17" s="55"/>
      <c r="F17" s="55"/>
      <c r="G17" s="55"/>
      <c r="H17" s="334"/>
      <c r="I17" s="334"/>
      <c r="J17" s="55" t="str">
        <f>IFERROR(VLOOKUP($E17,【変更不可】!$AJ$10:$AS$41, 4, FALSE)&amp;"", "")</f>
        <v/>
      </c>
      <c r="K17" s="55" t="str">
        <f>IFERROR(VLOOKUP($E17,【変更不可】!$AJ$10:$AS$41, 5, FALSE)&amp;"", "")</f>
        <v/>
      </c>
      <c r="L17" s="55" t="str">
        <f>IFERROR(VLOOKUP($E17,【変更不可】!$AJ$10:$AS$41, 6, FALSE)&amp;"", "")</f>
        <v/>
      </c>
      <c r="M17" s="55" t="str">
        <f>IFERROR(VLOOKUP($E17,【変更不可】!$AJ$10:$AS$41, 7, FALSE)&amp;"", "")</f>
        <v/>
      </c>
      <c r="N17" s="55" t="str">
        <f>IFERROR(VLOOKUP($E17,【変更不可】!$AJ$10:$AS$41, 8, FALSE)&amp;"", "")</f>
        <v/>
      </c>
      <c r="O17" s="55" t="str">
        <f>IFERROR(VLOOKUP($E17,【変更不可】!$AJ$10:$AS$41, 9, FALSE)&amp;"", "")</f>
        <v/>
      </c>
      <c r="P17" s="335"/>
      <c r="Q17" s="335"/>
      <c r="R17" s="335">
        <f>IF(COUNTIF(【変更不可】!AJ$10:AJ$41,E17),Q17*(VLOOKUP($E17,【変更不可】!AJ$10:AS$41,10,FALSE)),Q17)</f>
        <v>0</v>
      </c>
      <c r="S17" s="335"/>
      <c r="T17" s="335"/>
      <c r="U17" s="336"/>
      <c r="V17" s="335"/>
      <c r="W17" s="335"/>
      <c r="X17" s="337"/>
      <c r="Y17" s="356"/>
      <c r="Z17" s="339"/>
      <c r="AA17" s="339"/>
      <c r="AB17" s="339"/>
      <c r="AC17" s="335"/>
      <c r="AD17" s="357"/>
      <c r="AE17" s="361"/>
      <c r="AF17" s="355"/>
      <c r="AG17" s="355"/>
      <c r="AH17" s="355"/>
      <c r="AI17" s="355"/>
      <c r="AJ17" s="355"/>
      <c r="AK17" s="355"/>
      <c r="AL17" s="355"/>
      <c r="AM17" s="355"/>
      <c r="AN17" s="355"/>
      <c r="AO17" s="355"/>
      <c r="AP17" s="355"/>
      <c r="AQ17" s="355"/>
      <c r="AR17" s="355"/>
      <c r="AS17" s="355"/>
      <c r="AT17" s="355"/>
      <c r="AU17" s="357"/>
    </row>
    <row r="18" spans="2:47"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1"/>
      <c r="N18" s="331"/>
      <c r="O18" s="331"/>
      <c r="P18" s="331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</row>
    <row r="19" spans="2:47">
      <c r="C19" s="330" t="s">
        <v>475</v>
      </c>
      <c r="D19" s="331"/>
      <c r="E19" s="331"/>
      <c r="F19" s="331"/>
      <c r="G19" s="331"/>
      <c r="H19" s="331"/>
      <c r="I19" s="331"/>
      <c r="J19" s="331"/>
      <c r="K19" s="331"/>
      <c r="L19" s="331"/>
      <c r="M19" s="331"/>
      <c r="N19" s="331"/>
      <c r="O19" s="331"/>
      <c r="P19" s="331"/>
      <c r="Q19" s="331"/>
      <c r="R19" s="331"/>
      <c r="S19" s="331"/>
      <c r="T19" s="331"/>
      <c r="U19" s="331"/>
      <c r="V19" s="331"/>
      <c r="W19" s="331"/>
      <c r="X19" s="331"/>
      <c r="Y19" s="331"/>
      <c r="Z19" s="331"/>
      <c r="AA19" s="331"/>
      <c r="AB19" s="331"/>
      <c r="AC19" s="331"/>
      <c r="AD19" s="331"/>
    </row>
    <row r="20" spans="2:47" ht="14.25" thickBot="1">
      <c r="C20" s="259" t="s">
        <v>486</v>
      </c>
    </row>
    <row r="21" spans="2:47" ht="24.75" thickBot="1">
      <c r="C21" s="366" t="s">
        <v>415</v>
      </c>
      <c r="D21" s="367" t="s">
        <v>416</v>
      </c>
      <c r="E21" s="368" t="s">
        <v>428</v>
      </c>
      <c r="F21" s="367" t="s">
        <v>417</v>
      </c>
      <c r="G21" s="369" t="s">
        <v>418</v>
      </c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</row>
    <row r="22" spans="2:47" ht="14.25" thickBot="1">
      <c r="C22" s="276"/>
      <c r="D22" s="277"/>
      <c r="E22" s="278"/>
      <c r="F22" s="277"/>
      <c r="G22" s="279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</row>
    <row r="23" spans="2:47">
      <c r="C23" s="270"/>
      <c r="D23" s="270"/>
      <c r="E23" s="270"/>
      <c r="F23" s="270"/>
      <c r="G23" s="270"/>
      <c r="H23" s="270"/>
      <c r="I23" s="270"/>
      <c r="J23" s="270"/>
      <c r="K23" s="270"/>
      <c r="L23" s="270"/>
      <c r="M23" s="270"/>
      <c r="N23" s="270"/>
      <c r="O23" s="270"/>
      <c r="P23" s="270"/>
      <c r="Q23" s="270"/>
      <c r="R23" s="270"/>
      <c r="S23" s="270"/>
      <c r="T23" s="270"/>
      <c r="U23" s="270"/>
      <c r="V23" s="270"/>
    </row>
    <row r="24" spans="2:47" ht="14.25" thickBot="1">
      <c r="C24" s="259" t="s">
        <v>501</v>
      </c>
      <c r="D24" s="270"/>
      <c r="E24" s="270"/>
      <c r="F24" s="270"/>
      <c r="G24" s="270"/>
      <c r="H24" s="270"/>
      <c r="I24" s="270"/>
      <c r="J24" s="270"/>
      <c r="K24" s="270"/>
      <c r="L24" s="270"/>
      <c r="M24" s="270"/>
      <c r="N24" s="270"/>
      <c r="O24" s="270"/>
      <c r="P24" s="270"/>
      <c r="Q24" s="270"/>
      <c r="R24" s="270"/>
      <c r="S24" s="270"/>
      <c r="T24" s="270"/>
      <c r="U24" s="270"/>
      <c r="V24" s="270"/>
    </row>
    <row r="25" spans="2:47">
      <c r="C25" s="558" t="s">
        <v>437</v>
      </c>
      <c r="D25" s="559"/>
      <c r="E25" s="559"/>
      <c r="F25" s="559"/>
      <c r="G25" s="555" t="s">
        <v>419</v>
      </c>
      <c r="H25" s="556"/>
      <c r="I25" s="556"/>
      <c r="J25" s="556"/>
      <c r="K25" s="556"/>
      <c r="L25" s="556"/>
      <c r="M25" s="556"/>
      <c r="N25" s="556"/>
      <c r="O25" s="556"/>
      <c r="P25" s="556"/>
      <c r="Q25" s="557"/>
      <c r="R25" s="555" t="s">
        <v>420</v>
      </c>
      <c r="S25" s="556"/>
      <c r="T25" s="556"/>
      <c r="U25" s="557"/>
      <c r="V25" s="317"/>
    </row>
    <row r="26" spans="2:47" ht="36.75" thickBot="1">
      <c r="C26" s="273" t="s">
        <v>421</v>
      </c>
      <c r="D26" s="272" t="s">
        <v>422</v>
      </c>
      <c r="E26" s="272" t="s">
        <v>433</v>
      </c>
      <c r="F26" s="318" t="s">
        <v>423</v>
      </c>
      <c r="G26" s="318" t="s">
        <v>502</v>
      </c>
      <c r="H26" s="318" t="s">
        <v>424</v>
      </c>
      <c r="I26" s="318" t="s">
        <v>425</v>
      </c>
      <c r="J26" s="318" t="s">
        <v>496</v>
      </c>
      <c r="K26" s="318" t="s">
        <v>498</v>
      </c>
      <c r="L26" s="319" t="s">
        <v>477</v>
      </c>
      <c r="M26" s="319" t="s">
        <v>479</v>
      </c>
      <c r="N26" s="319" t="s">
        <v>482</v>
      </c>
      <c r="O26" s="319" t="s">
        <v>483</v>
      </c>
      <c r="P26" s="319" t="s">
        <v>484</v>
      </c>
      <c r="Q26" s="319" t="s">
        <v>485</v>
      </c>
      <c r="R26" s="318" t="s">
        <v>503</v>
      </c>
      <c r="S26" s="318" t="s">
        <v>426</v>
      </c>
      <c r="T26" s="318" t="s">
        <v>497</v>
      </c>
      <c r="U26" s="318" t="s">
        <v>499</v>
      </c>
      <c r="V26" s="320" t="s">
        <v>448</v>
      </c>
      <c r="X26" s="259"/>
    </row>
    <row r="27" spans="2:47" ht="14.25" thickBot="1">
      <c r="C27" s="274" t="e">
        <f>DGET(【変更不可】!$H$6:$AF$439,【変更不可】!M6,社内用!$C$21:$G$22)</f>
        <v>#NUM!</v>
      </c>
      <c r="D27" s="275" t="e">
        <f>DGET(【変更不可】!$H$6:$AF$439,【変更不可】!N6,社内用!$C$21:$G$22)</f>
        <v>#NUM!</v>
      </c>
      <c r="E27" s="275" t="e">
        <f>DGET(【変更不可】!$H$6:$AF$439,【変更不可】!O6,社内用!$C$21:$G$22)</f>
        <v>#NUM!</v>
      </c>
      <c r="F27" s="275" t="e">
        <f>DGET(【変更不可】!$H$6:$AF$439,【変更不可】!P6,社内用!$C$21:$G$22)</f>
        <v>#NUM!</v>
      </c>
      <c r="G27" s="275" t="e">
        <f>DGET(【変更不可】!$H$6:$AF$439,【変更不可】!Q6,社内用!$C$21:$G$22)</f>
        <v>#NUM!</v>
      </c>
      <c r="H27" s="275" t="e">
        <f>DGET(【変更不可】!$H$6:$AF$439,【変更不可】!R6,社内用!$C$21:$G$22)</f>
        <v>#NUM!</v>
      </c>
      <c r="I27" s="275" t="e">
        <f>DGET(【変更不可】!$H$6:$AF$439,【変更不可】!S6,社内用!$C$21:$G$22)</f>
        <v>#NUM!</v>
      </c>
      <c r="J27" s="275" t="e">
        <f>DGET(【変更不可】!$H$6:$AF$439,【変更不可】!T6,社内用!$C$21:$G$22)</f>
        <v>#NUM!</v>
      </c>
      <c r="K27" s="275" t="e">
        <f>DGET(【変更不可】!$H$6:$AF$439,【変更不可】!U6,社内用!$C$21:$G$22)</f>
        <v>#NUM!</v>
      </c>
      <c r="L27" s="275" t="e">
        <f>DGET(【変更不可】!$H$6:$AF$439,【変更不可】!V6,社内用!$C$21:$G$22)</f>
        <v>#NUM!</v>
      </c>
      <c r="M27" s="275" t="e">
        <f>DGET(【変更不可】!$H$6:$AF$439,【変更不可】!W6,社内用!$C$21:$G$22)</f>
        <v>#NUM!</v>
      </c>
      <c r="N27" s="275" t="e">
        <f>DGET(【変更不可】!$H$6:$AF$439,【変更不可】!X6,社内用!$C$21:$G$22)</f>
        <v>#NUM!</v>
      </c>
      <c r="O27" s="275" t="e">
        <f>DGET(【変更不可】!$H$6:$AF$439,【変更不可】!Y6,社内用!$C$21:$G$22)</f>
        <v>#NUM!</v>
      </c>
      <c r="P27" s="275" t="e">
        <f>DGET(【変更不可】!$H$6:$AF$439,【変更不可】!Z6,社内用!$C$21:$G$22)</f>
        <v>#NUM!</v>
      </c>
      <c r="Q27" s="275" t="e">
        <f>DGET(【変更不可】!$H$6:$AF$439,【変更不可】!AA6,社内用!$C$21:$G$22)</f>
        <v>#NUM!</v>
      </c>
      <c r="R27" s="275" t="e">
        <f>DGET(【変更不可】!$H$6:$AF$439,【変更不可】!AB6,社内用!$C$21:$G$22)</f>
        <v>#NUM!</v>
      </c>
      <c r="S27" s="275" t="e">
        <f>DGET(【変更不可】!$H$6:$AF$439,【変更不可】!AC6,社内用!$C$21:$G$22)</f>
        <v>#NUM!</v>
      </c>
      <c r="T27" s="275" t="e">
        <f>DGET(【変更不可】!$H$6:$AF$439,【変更不可】!AD6,社内用!$C$21:$G$22)</f>
        <v>#NUM!</v>
      </c>
      <c r="U27" s="275" t="e">
        <f>DGET(【変更不可】!$H$6:$AF$439,【変更不可】!AE6,社内用!$C$21:$G$22)</f>
        <v>#NUM!</v>
      </c>
      <c r="V27" s="321" t="e">
        <f>DGET(【変更不可】!$H$6:$AF$439,【変更不可】!AF6,社内用!$C$21:$G$22)</f>
        <v>#NUM!</v>
      </c>
    </row>
    <row r="28" spans="2:47" ht="12.95" customHeight="1">
      <c r="C28" s="270"/>
      <c r="D28" s="270"/>
      <c r="E28" s="270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</row>
    <row r="29" spans="2:47">
      <c r="C29" s="270" t="s">
        <v>500</v>
      </c>
      <c r="D29" s="270"/>
      <c r="E29" s="270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</row>
    <row r="30" spans="2:47" ht="14.25" thickBot="1">
      <c r="C30" s="259" t="s">
        <v>487</v>
      </c>
      <c r="K30" s="270"/>
      <c r="L30" s="259" t="s">
        <v>487</v>
      </c>
      <c r="T30" s="270"/>
      <c r="U30" s="259" t="s">
        <v>487</v>
      </c>
    </row>
    <row r="31" spans="2:47">
      <c r="C31" s="262"/>
      <c r="D31" s="560" t="s">
        <v>470</v>
      </c>
      <c r="E31" s="561"/>
      <c r="F31" s="563"/>
      <c r="G31" s="560" t="s">
        <v>471</v>
      </c>
      <c r="H31" s="561"/>
      <c r="I31" s="561"/>
      <c r="J31" s="562"/>
      <c r="K31" s="270"/>
      <c r="L31" s="262"/>
      <c r="M31" s="560" t="s">
        <v>267</v>
      </c>
      <c r="N31" s="561"/>
      <c r="O31" s="563"/>
      <c r="P31" s="560" t="s">
        <v>471</v>
      </c>
      <c r="Q31" s="561"/>
      <c r="R31" s="561"/>
      <c r="S31" s="562"/>
      <c r="T31" s="270"/>
      <c r="U31" s="262"/>
      <c r="V31" s="560" t="s">
        <v>267</v>
      </c>
      <c r="W31" s="561"/>
      <c r="X31" s="563"/>
      <c r="Y31" s="560" t="s">
        <v>471</v>
      </c>
      <c r="Z31" s="561"/>
      <c r="AA31" s="561"/>
      <c r="AB31" s="562"/>
    </row>
    <row r="32" spans="2:47" ht="27.75" thickBot="1">
      <c r="C32" s="263"/>
      <c r="D32" s="260" t="s">
        <v>472</v>
      </c>
      <c r="E32" s="258" t="s">
        <v>473</v>
      </c>
      <c r="F32" s="261" t="s">
        <v>474</v>
      </c>
      <c r="G32" s="264" t="s">
        <v>466</v>
      </c>
      <c r="H32" s="264" t="s">
        <v>467</v>
      </c>
      <c r="I32" s="264" t="s">
        <v>468</v>
      </c>
      <c r="J32" s="265" t="s">
        <v>469</v>
      </c>
      <c r="L32" s="263"/>
      <c r="M32" s="260" t="s">
        <v>472</v>
      </c>
      <c r="N32" s="258" t="s">
        <v>473</v>
      </c>
      <c r="O32" s="261" t="s">
        <v>474</v>
      </c>
      <c r="P32" s="264" t="s">
        <v>466</v>
      </c>
      <c r="Q32" s="264" t="s">
        <v>467</v>
      </c>
      <c r="R32" s="264" t="s">
        <v>426</v>
      </c>
      <c r="S32" s="265" t="s">
        <v>469</v>
      </c>
      <c r="U32" s="263"/>
      <c r="V32" s="260" t="s">
        <v>472</v>
      </c>
      <c r="W32" s="258" t="s">
        <v>473</v>
      </c>
      <c r="X32" s="261" t="s">
        <v>474</v>
      </c>
      <c r="Y32" s="264" t="s">
        <v>466</v>
      </c>
      <c r="Z32" s="264" t="s">
        <v>467</v>
      </c>
      <c r="AA32" s="264" t="s">
        <v>426</v>
      </c>
      <c r="AB32" s="265" t="s">
        <v>469</v>
      </c>
    </row>
    <row r="33" spans="3:28" ht="14.25" thickTop="1">
      <c r="C33" s="266">
        <v>1</v>
      </c>
      <c r="D33" s="280"/>
      <c r="E33" s="281"/>
      <c r="F33" s="282"/>
      <c r="G33" s="302"/>
      <c r="H33" s="303"/>
      <c r="I33" s="303"/>
      <c r="J33" s="370" t="e">
        <f>(G33-H33)/I33</f>
        <v>#DIV/0!</v>
      </c>
      <c r="L33" s="266">
        <v>1</v>
      </c>
      <c r="M33" s="280"/>
      <c r="N33" s="281"/>
      <c r="O33" s="282"/>
      <c r="P33" s="302"/>
      <c r="Q33" s="303"/>
      <c r="R33" s="303"/>
      <c r="S33" s="370" t="e">
        <f>(P33-Q33)/R33</f>
        <v>#DIV/0!</v>
      </c>
      <c r="U33" s="266">
        <v>1</v>
      </c>
      <c r="V33" s="280"/>
      <c r="W33" s="281"/>
      <c r="X33" s="282"/>
      <c r="Y33" s="302"/>
      <c r="Z33" s="303"/>
      <c r="AA33" s="303"/>
      <c r="AB33" s="370" t="e">
        <f>(Y33-Z33)/AA33</f>
        <v>#DIV/0!</v>
      </c>
    </row>
    <row r="34" spans="3:28">
      <c r="C34" s="267">
        <v>2</v>
      </c>
      <c r="D34" s="283"/>
      <c r="E34" s="284"/>
      <c r="F34" s="285"/>
      <c r="G34" s="304"/>
      <c r="H34" s="284"/>
      <c r="I34" s="284"/>
      <c r="J34" s="371" t="e">
        <f t="shared" ref="J34:J35" si="0">(G34-H34)/I34</f>
        <v>#DIV/0!</v>
      </c>
      <c r="L34" s="267">
        <v>2</v>
      </c>
      <c r="M34" s="283"/>
      <c r="N34" s="284"/>
      <c r="O34" s="285"/>
      <c r="P34" s="304"/>
      <c r="Q34" s="284"/>
      <c r="R34" s="284"/>
      <c r="S34" s="371" t="e">
        <f t="shared" ref="S34:S35" si="1">(P34-Q34)/R34</f>
        <v>#DIV/0!</v>
      </c>
      <c r="U34" s="267">
        <v>2</v>
      </c>
      <c r="V34" s="283"/>
      <c r="W34" s="284"/>
      <c r="X34" s="285"/>
      <c r="Y34" s="304"/>
      <c r="Z34" s="284"/>
      <c r="AA34" s="284"/>
      <c r="AB34" s="371" t="e">
        <f t="shared" ref="AB34:AB35" si="2">(Y34-Z34)/AA34</f>
        <v>#DIV/0!</v>
      </c>
    </row>
    <row r="35" spans="3:28" ht="14.25" thickBot="1">
      <c r="C35" s="268">
        <v>3</v>
      </c>
      <c r="D35" s="286"/>
      <c r="E35" s="287"/>
      <c r="F35" s="288"/>
      <c r="G35" s="305"/>
      <c r="H35" s="287"/>
      <c r="I35" s="287"/>
      <c r="J35" s="372" t="e">
        <f t="shared" si="0"/>
        <v>#DIV/0!</v>
      </c>
      <c r="L35" s="268">
        <v>3</v>
      </c>
      <c r="M35" s="286"/>
      <c r="N35" s="287"/>
      <c r="O35" s="288"/>
      <c r="P35" s="305"/>
      <c r="Q35" s="287"/>
      <c r="R35" s="287"/>
      <c r="S35" s="372" t="e">
        <f t="shared" si="1"/>
        <v>#DIV/0!</v>
      </c>
      <c r="U35" s="268">
        <v>3</v>
      </c>
      <c r="V35" s="286"/>
      <c r="W35" s="287"/>
      <c r="X35" s="288"/>
      <c r="Y35" s="305"/>
      <c r="Z35" s="287"/>
      <c r="AA35" s="287"/>
      <c r="AB35" s="372" t="e">
        <f t="shared" si="2"/>
        <v>#DIV/0!</v>
      </c>
    </row>
    <row r="36" spans="3:28" ht="12.95" customHeight="1" thickTop="1" thickBot="1">
      <c r="C36" s="269" t="s">
        <v>414</v>
      </c>
      <c r="D36" s="289" t="e">
        <f>AVERAGE(D33:D35)</f>
        <v>#DIV/0!</v>
      </c>
      <c r="E36" s="290" t="e">
        <f>AVERAGE(E33:E35)</f>
        <v>#DIV/0!</v>
      </c>
      <c r="F36" s="291" t="e">
        <f>AVERAGE(F33:F35)</f>
        <v>#DIV/0!</v>
      </c>
      <c r="G36" s="306"/>
      <c r="H36" s="307"/>
      <c r="I36" s="307"/>
      <c r="J36" s="292" t="e">
        <f>AVERAGE(J33:J35)</f>
        <v>#DIV/0!</v>
      </c>
      <c r="L36" s="269" t="s">
        <v>414</v>
      </c>
      <c r="M36" s="289" t="e">
        <f>AVERAGE(M33:M35)</f>
        <v>#DIV/0!</v>
      </c>
      <c r="N36" s="290" t="e">
        <f>AVERAGE(N33:N35)</f>
        <v>#DIV/0!</v>
      </c>
      <c r="O36" s="291" t="e">
        <f>AVERAGE(O33:O35)</f>
        <v>#DIV/0!</v>
      </c>
      <c r="P36" s="306"/>
      <c r="Q36" s="307"/>
      <c r="R36" s="307"/>
      <c r="S36" s="292" t="e">
        <f>AVERAGE(S33:S35)</f>
        <v>#DIV/0!</v>
      </c>
      <c r="U36" s="269" t="s">
        <v>414</v>
      </c>
      <c r="V36" s="289" t="e">
        <f>AVERAGE(V33:V35)</f>
        <v>#DIV/0!</v>
      </c>
      <c r="W36" s="290" t="e">
        <f>AVERAGE(W33:W35)</f>
        <v>#DIV/0!</v>
      </c>
      <c r="X36" s="291" t="e">
        <f>AVERAGE(X33:X35)</f>
        <v>#DIV/0!</v>
      </c>
      <c r="Y36" s="306"/>
      <c r="Z36" s="307"/>
      <c r="AA36" s="307"/>
      <c r="AB36" s="292" t="e">
        <f>AVERAGE(AB33:AB35)</f>
        <v>#DIV/0!</v>
      </c>
    </row>
  </sheetData>
  <mergeCells count="13">
    <mergeCell ref="AE5:AU5"/>
    <mergeCell ref="AF6:AP6"/>
    <mergeCell ref="AQ6:AT6"/>
    <mergeCell ref="Y5:AD6"/>
    <mergeCell ref="V31:X31"/>
    <mergeCell ref="Y31:AB31"/>
    <mergeCell ref="R25:U25"/>
    <mergeCell ref="G25:Q25"/>
    <mergeCell ref="C25:F25"/>
    <mergeCell ref="G31:J31"/>
    <mergeCell ref="D31:F31"/>
    <mergeCell ref="M31:O31"/>
    <mergeCell ref="P31:S31"/>
  </mergeCells>
  <phoneticPr fontId="10"/>
  <dataValidations xWindow="564" yWindow="460" count="17">
    <dataValidation allowBlank="1" showInputMessage="1" showErrorMessage="1" prompt="yyyy/mm/ddの形式_x000a_(ctrlキーと+キー同時押しで本日の日付入力可能です）" sqref="B8:B17"/>
    <dataValidation type="decimal" allowBlank="1" showInputMessage="1" showErrorMessage="1" sqref="T8:T17">
      <formula1>0</formula1>
      <formula2>400</formula2>
    </dataValidation>
    <dataValidation allowBlank="1" showInputMessage="1" showErrorMessage="1" prompt="株式会社は省略_x000a_ｶﾀｶﾅは半角入力" sqref="D13:D17"/>
    <dataValidation type="decimal" allowBlank="1" showInputMessage="1" showErrorMessage="1" prompt="単位は省略_x000a_小数点以下1桁まで入力" sqref="H8:I17">
      <formula1>0</formula1>
      <formula2>100</formula2>
    </dataValidation>
    <dataValidation type="decimal" allowBlank="1" showInputMessage="1" showErrorMessage="1" sqref="U8:U17">
      <formula1>0</formula1>
      <formula2>100</formula2>
    </dataValidation>
    <dataValidation type="decimal" allowBlank="1" showInputMessage="1" showErrorMessage="1" sqref="V8:W17 P8:P17">
      <formula1>0</formula1>
      <formula2>1</formula2>
    </dataValidation>
    <dataValidation type="decimal" allowBlank="1" showInputMessage="1" showErrorMessage="1" sqref="Q8:Q17">
      <formula1>0</formula1>
      <formula2>20</formula2>
    </dataValidation>
    <dataValidation type="decimal" allowBlank="1" showInputMessage="1" showErrorMessage="1" sqref="S8:S17">
      <formula1>0</formula1>
      <formula2>0.5</formula2>
    </dataValidation>
    <dataValidation allowBlank="1" showInputMessage="1" showErrorMessage="1" prompt="株式会社は省略_x000a_カタカナは全角入力" sqref="D8:D12"/>
    <dataValidation type="list" allowBlank="1" showInputMessage="1" showErrorMessage="1" sqref="D22">
      <formula1>"コンパクトガン, 幅広ガン, ミニベロガン"</formula1>
    </dataValidation>
    <dataValidation type="list" allowBlank="1" showInputMessage="1" showErrorMessage="1" error="新品 or 中古 or 混合" prompt="新品 or 中古 or 混合" sqref="G8:G17">
      <formula1>"新品, 中古, 混合"</formula1>
    </dataValidation>
    <dataValidation allowBlank="1" showInputMessage="1" showErrorMessage="1" prompt="技術標準に準拠_x000a_・幅広ガン_x000a_・ミニベロガン_x000a_・コンパクトガン_x000a_・〇連マルチガン" sqref="J8:J17"/>
    <dataValidation allowBlank="1" showInputMessage="1" showErrorMessage="1" promptTitle="技術標準準拠(以下記入例)" prompt="幅広ガン　1*90  , 1.5*160, 2.5*60P _x000a_コンパクトガン　 12.5, 12.5L, 12.5SL, 11L, 12.5L-MJ_x000a_ミニベロガン　3*6, 6*12" sqref="K8:K17"/>
    <dataValidation allowBlank="1" showInputMessage="1" showErrorMessage="1" prompt="単位は省略_x000a_例）φ2.0, φ6.0, φ6.0MJ, φ2.0*2(ﾐﾆﾍﾞﾛ)" sqref="L8:L17"/>
    <dataValidation allowBlank="1" showInputMessage="1" showErrorMessage="1" prompt="有 or 無" sqref="M8:M17"/>
    <dataValidation allowBlank="1" showInputMessage="1" showErrorMessage="1" prompt="SJ or SS" sqref="N8:N17"/>
    <dataValidation allowBlank="1" showInputMessage="1" showErrorMessage="1" prompt="単位は省略_x000a_例）φ1.2, 2.0, 2.5*10.5(ﾐﾆﾍﾞﾛ)" sqref="O8:O17"/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sample1">
                <anchor moveWithCells="1">
                  <from>
                    <xdr:col>3</xdr:col>
                    <xdr:colOff>47625</xdr:colOff>
                    <xdr:row>1</xdr:row>
                    <xdr:rowOff>104775</xdr:rowOff>
                  </from>
                  <to>
                    <xdr:col>4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64" yWindow="460" count="5">
        <x14:dataValidation type="list" allowBlank="1" showInputMessage="1" showErrorMessage="1">
          <x14:formula1>
            <xm:f>【変更不可】!$B$7:$B$95</xm:f>
          </x14:formula1>
          <xm:sqref>C22</xm:sqref>
        </x14:dataValidation>
        <x14:dataValidation type="list" errorStyle="information" allowBlank="1" showInputMessage="1" showErrorMessage="1" prompt="リストから選択_x000a_">
          <x14:formula1>
            <xm:f>【変更不可】!$B$7:$B$95</xm:f>
          </x14:formula1>
          <xm:sqref>F9:F17</xm:sqref>
        </x14:dataValidation>
        <x14:dataValidation type="list" errorStyle="information" allowBlank="1" showInputMessage="1" showErrorMessage="1" prompt="株式会社は省略_x000a_ｶﾀｶﾅは半角入力">
          <x14:formula1>
            <xm:f>【変更不可】!$AJ$10:$AJ$41</xm:f>
          </x14:formula1>
          <xm:sqref>E13:E17</xm:sqref>
        </x14:dataValidation>
        <x14:dataValidation type="list" errorStyle="information" allowBlank="1" showInputMessage="1" showErrorMessage="1" prompt="リストから選択">
          <x14:formula1>
            <xm:f>【変更不可】!$AJ$10:$AJ$41</xm:f>
          </x14:formula1>
          <xm:sqref>E8:E12</xm:sqref>
        </x14:dataValidation>
        <x14:dataValidation type="list" errorStyle="information" allowBlank="1" showInputMessage="1" showErrorMessage="1" prompt="リストから選択_x000a_">
          <x14:formula1>
            <xm:f>【変更不可】!$B$7:$B$112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2"/>
  <sheetViews>
    <sheetView topLeftCell="B1" workbookViewId="0">
      <selection activeCell="D39" sqref="D38:D39"/>
    </sheetView>
  </sheetViews>
  <sheetFormatPr defaultColWidth="9" defaultRowHeight="12"/>
  <cols>
    <col min="1" max="1" width="3.25" style="57" customWidth="1"/>
    <col min="2" max="2" width="2.25" style="57" customWidth="1"/>
    <col min="3" max="3" width="9.5" style="57" customWidth="1"/>
    <col min="4" max="4" width="2.25" style="57" customWidth="1"/>
    <col min="5" max="5" width="17.25" style="57" customWidth="1"/>
    <col min="6" max="14" width="9" style="57"/>
    <col min="15" max="15" width="6.875" style="57" customWidth="1"/>
    <col min="16" max="16" width="10.75" style="57" customWidth="1"/>
    <col min="17" max="16384" width="9" style="57"/>
  </cols>
  <sheetData>
    <row r="1" spans="1:18" ht="18" thickBot="1">
      <c r="A1" s="579" t="s">
        <v>50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  <c r="O1" s="579"/>
      <c r="P1" s="579"/>
      <c r="Q1" s="56"/>
      <c r="R1" s="56"/>
    </row>
    <row r="2" spans="1:18">
      <c r="O2" s="58" t="s">
        <v>51</v>
      </c>
      <c r="P2" s="59"/>
    </row>
    <row r="3" spans="1:18" ht="12.75" thickBot="1">
      <c r="O3" s="60" t="s">
        <v>52</v>
      </c>
      <c r="P3" s="61"/>
    </row>
    <row r="4" spans="1:18" ht="14.25" thickBot="1">
      <c r="B4" s="62" t="s">
        <v>53</v>
      </c>
      <c r="C4" s="63"/>
    </row>
    <row r="5" spans="1:18" ht="12.75" thickBot="1">
      <c r="B5" s="580" t="s">
        <v>54</v>
      </c>
      <c r="C5" s="581"/>
      <c r="D5" s="582" t="s">
        <v>55</v>
      </c>
      <c r="E5" s="581"/>
      <c r="F5" s="583" t="s">
        <v>56</v>
      </c>
      <c r="G5" s="583"/>
      <c r="H5" s="583"/>
      <c r="I5" s="583"/>
      <c r="J5" s="583"/>
      <c r="K5" s="583"/>
      <c r="L5" s="583"/>
      <c r="M5" s="583"/>
      <c r="N5" s="583"/>
      <c r="O5" s="583"/>
      <c r="P5" s="584"/>
    </row>
    <row r="6" spans="1:18">
      <c r="B6" s="585" t="s">
        <v>57</v>
      </c>
      <c r="C6" s="586"/>
      <c r="D6" s="64"/>
      <c r="E6" s="65" t="s">
        <v>58</v>
      </c>
      <c r="F6" s="66"/>
      <c r="G6" s="66"/>
      <c r="H6" s="66"/>
      <c r="I6" s="66"/>
      <c r="J6" s="66"/>
      <c r="K6" s="66"/>
      <c r="L6" s="66"/>
      <c r="M6" s="66"/>
      <c r="N6" s="66"/>
      <c r="O6" s="66"/>
      <c r="P6" s="67"/>
    </row>
    <row r="7" spans="1:18">
      <c r="B7" s="585"/>
      <c r="C7" s="586"/>
      <c r="D7" s="68"/>
      <c r="E7" s="69" t="s">
        <v>59</v>
      </c>
      <c r="F7" s="66"/>
      <c r="G7" s="66"/>
      <c r="H7" s="66"/>
      <c r="I7" s="66"/>
      <c r="J7" s="66"/>
      <c r="K7" s="66"/>
      <c r="L7" s="66"/>
      <c r="M7" s="66"/>
      <c r="N7" s="66"/>
      <c r="O7" s="66"/>
      <c r="P7" s="67"/>
    </row>
    <row r="8" spans="1:18">
      <c r="B8" s="585"/>
      <c r="C8" s="586"/>
      <c r="D8" s="68"/>
      <c r="E8" s="69" t="s">
        <v>60</v>
      </c>
      <c r="F8" s="66"/>
      <c r="G8" s="66"/>
      <c r="H8" s="66"/>
      <c r="I8" s="66"/>
      <c r="J8" s="66"/>
      <c r="K8" s="66"/>
      <c r="L8" s="66"/>
      <c r="M8" s="66"/>
      <c r="N8" s="66"/>
      <c r="O8" s="66"/>
      <c r="P8" s="67"/>
    </row>
    <row r="9" spans="1:18">
      <c r="B9" s="585"/>
      <c r="C9" s="586"/>
      <c r="D9" s="70"/>
      <c r="E9" s="71" t="s">
        <v>61</v>
      </c>
      <c r="F9" s="66"/>
      <c r="G9" s="66"/>
      <c r="H9" s="66"/>
      <c r="I9" s="66"/>
      <c r="J9" s="66"/>
      <c r="K9" s="66"/>
      <c r="L9" s="66"/>
      <c r="M9" s="66"/>
      <c r="N9" s="66"/>
      <c r="O9" s="66"/>
      <c r="P9" s="67"/>
    </row>
    <row r="10" spans="1:18" ht="12.75" thickBot="1">
      <c r="B10" s="585"/>
      <c r="C10" s="586"/>
      <c r="D10" s="72"/>
      <c r="E10" s="72" t="s">
        <v>62</v>
      </c>
      <c r="F10" s="73"/>
      <c r="G10" s="74"/>
      <c r="H10" s="74"/>
      <c r="I10" s="74"/>
      <c r="J10" s="74"/>
      <c r="K10" s="74"/>
      <c r="L10" s="74"/>
      <c r="M10" s="74"/>
      <c r="N10" s="74"/>
      <c r="O10" s="74"/>
      <c r="P10" s="75"/>
    </row>
    <row r="11" spans="1:18" ht="12.75" thickTop="1">
      <c r="B11" s="587" t="s">
        <v>63</v>
      </c>
      <c r="C11" s="588"/>
      <c r="D11" s="64"/>
      <c r="E11" s="65" t="s">
        <v>64</v>
      </c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7"/>
    </row>
    <row r="12" spans="1:18">
      <c r="B12" s="585"/>
      <c r="C12" s="586"/>
      <c r="D12" s="70"/>
      <c r="E12" s="69" t="s">
        <v>65</v>
      </c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7"/>
    </row>
    <row r="13" spans="1:18">
      <c r="B13" s="585"/>
      <c r="C13" s="586"/>
      <c r="D13" s="68"/>
      <c r="E13" s="69" t="s">
        <v>66</v>
      </c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7"/>
    </row>
    <row r="14" spans="1:18">
      <c r="B14" s="585"/>
      <c r="C14" s="586"/>
      <c r="D14" s="68"/>
      <c r="E14" s="69" t="s">
        <v>67</v>
      </c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7"/>
    </row>
    <row r="15" spans="1:18" ht="12.75" thickBot="1">
      <c r="B15" s="589"/>
      <c r="C15" s="590"/>
      <c r="D15" s="76"/>
      <c r="E15" s="77" t="s">
        <v>62</v>
      </c>
      <c r="F15" s="73"/>
      <c r="G15" s="74"/>
      <c r="H15" s="74"/>
      <c r="I15" s="74"/>
      <c r="J15" s="74"/>
      <c r="K15" s="74"/>
      <c r="L15" s="74"/>
      <c r="M15" s="74"/>
      <c r="N15" s="74"/>
      <c r="O15" s="74"/>
      <c r="P15" s="75"/>
    </row>
    <row r="16" spans="1:18" ht="12.75" thickTop="1">
      <c r="B16" s="587" t="s">
        <v>68</v>
      </c>
      <c r="C16" s="588"/>
      <c r="D16" s="78"/>
      <c r="E16" s="79" t="s">
        <v>69</v>
      </c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/>
    </row>
    <row r="17" spans="2:16">
      <c r="B17" s="585"/>
      <c r="C17" s="586"/>
      <c r="D17" s="70"/>
      <c r="E17" s="69" t="s">
        <v>70</v>
      </c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7"/>
    </row>
    <row r="18" spans="2:16" ht="12.75" thickBot="1">
      <c r="B18" s="589"/>
      <c r="C18" s="590"/>
      <c r="D18" s="72"/>
      <c r="E18" s="82" t="s">
        <v>62</v>
      </c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5"/>
    </row>
    <row r="19" spans="2:16" ht="13.5" thickTop="1" thickBot="1">
      <c r="B19" s="595" t="s">
        <v>613</v>
      </c>
      <c r="C19" s="596"/>
      <c r="D19" s="72"/>
      <c r="E19" s="456" t="s">
        <v>614</v>
      </c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7"/>
    </row>
    <row r="20" spans="2:16" ht="12" customHeight="1" thickTop="1">
      <c r="B20" s="591" t="s">
        <v>71</v>
      </c>
      <c r="C20" s="592"/>
      <c r="D20" s="83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5"/>
    </row>
    <row r="21" spans="2:16" ht="12" customHeight="1">
      <c r="B21" s="575"/>
      <c r="C21" s="576"/>
      <c r="D21" s="86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8"/>
    </row>
    <row r="22" spans="2:16">
      <c r="B22" s="575"/>
      <c r="C22" s="576"/>
      <c r="D22" s="86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8"/>
    </row>
    <row r="23" spans="2:16">
      <c r="B23" s="575"/>
      <c r="C23" s="576"/>
      <c r="D23" s="86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8"/>
    </row>
    <row r="24" spans="2:16" ht="12.75" thickBot="1">
      <c r="B24" s="593"/>
      <c r="C24" s="594"/>
      <c r="D24" s="89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1"/>
    </row>
    <row r="25" spans="2:16" ht="12" customHeight="1" thickTop="1">
      <c r="B25" s="575" t="s">
        <v>72</v>
      </c>
      <c r="C25" s="576"/>
      <c r="D25" s="83"/>
      <c r="E25" s="245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5"/>
    </row>
    <row r="26" spans="2:16" ht="12" customHeight="1">
      <c r="B26" s="575"/>
      <c r="C26" s="576"/>
      <c r="D26" s="86"/>
      <c r="E26" s="246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8"/>
    </row>
    <row r="27" spans="2:16">
      <c r="B27" s="575"/>
      <c r="C27" s="576"/>
      <c r="D27" s="86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8"/>
    </row>
    <row r="28" spans="2:16">
      <c r="B28" s="575"/>
      <c r="C28" s="576"/>
      <c r="D28" s="86"/>
      <c r="E28" s="246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8"/>
    </row>
    <row r="29" spans="2:16" ht="12.75" thickBot="1">
      <c r="B29" s="577"/>
      <c r="C29" s="578"/>
      <c r="D29" s="92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4"/>
    </row>
    <row r="30" spans="2:16">
      <c r="B30" s="95"/>
      <c r="C30" s="95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</row>
    <row r="31" spans="2:16" ht="14.25" thickBot="1">
      <c r="B31" s="62" t="s">
        <v>73</v>
      </c>
    </row>
    <row r="32" spans="2:16" ht="12.75" thickBot="1">
      <c r="B32" s="580" t="s">
        <v>74</v>
      </c>
      <c r="C32" s="583"/>
      <c r="D32" s="582" t="s">
        <v>75</v>
      </c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4"/>
    </row>
    <row r="33" spans="2:16" ht="13.5" customHeight="1">
      <c r="B33" s="97"/>
      <c r="C33" s="98" t="s">
        <v>76</v>
      </c>
      <c r="D33" s="99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1"/>
    </row>
    <row r="34" spans="2:16">
      <c r="B34" s="102"/>
      <c r="C34" s="69" t="s">
        <v>77</v>
      </c>
      <c r="D34" s="86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8"/>
    </row>
    <row r="35" spans="2:16">
      <c r="B35" s="102"/>
      <c r="C35" s="69" t="s">
        <v>78</v>
      </c>
      <c r="D35" s="86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8"/>
    </row>
    <row r="36" spans="2:16">
      <c r="B36" s="102"/>
      <c r="C36" s="69" t="s">
        <v>79</v>
      </c>
      <c r="D36" s="86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8"/>
    </row>
    <row r="37" spans="2:16" ht="12.75" thickBot="1">
      <c r="B37" s="103"/>
      <c r="C37" s="77" t="s">
        <v>62</v>
      </c>
      <c r="D37" s="89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1"/>
    </row>
    <row r="38" spans="2:16" ht="12" customHeight="1" thickTop="1">
      <c r="B38" s="575" t="s">
        <v>80</v>
      </c>
      <c r="C38" s="576"/>
      <c r="D38" s="83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5"/>
    </row>
    <row r="39" spans="2:16" ht="12" customHeight="1">
      <c r="B39" s="575"/>
      <c r="C39" s="576"/>
      <c r="D39" s="86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8"/>
    </row>
    <row r="40" spans="2:16">
      <c r="B40" s="575"/>
      <c r="C40" s="576"/>
      <c r="D40" s="86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8"/>
    </row>
    <row r="41" spans="2:16">
      <c r="B41" s="575"/>
      <c r="C41" s="576"/>
      <c r="D41" s="86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8"/>
    </row>
    <row r="42" spans="2:16" ht="12.75" thickBot="1">
      <c r="B42" s="577"/>
      <c r="C42" s="578"/>
      <c r="D42" s="92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4"/>
    </row>
  </sheetData>
  <mergeCells count="13">
    <mergeCell ref="B38:C42"/>
    <mergeCell ref="A1:P1"/>
    <mergeCell ref="B5:C5"/>
    <mergeCell ref="D5:E5"/>
    <mergeCell ref="F5:P5"/>
    <mergeCell ref="B6:C10"/>
    <mergeCell ref="B11:C15"/>
    <mergeCell ref="B16:C18"/>
    <mergeCell ref="B20:C24"/>
    <mergeCell ref="B25:C29"/>
    <mergeCell ref="B32:C32"/>
    <mergeCell ref="D32:P32"/>
    <mergeCell ref="B19:C19"/>
  </mergeCells>
  <phoneticPr fontId="10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heck Box 1">
              <controlPr defaultSize="0" autoFill="0" autoLine="0" autoPict="0">
                <anchor moveWithCells="1">
                  <from>
                    <xdr:col>2</xdr:col>
                    <xdr:colOff>704850</xdr:colOff>
                    <xdr:row>4</xdr:row>
                    <xdr:rowOff>114300</xdr:rowOff>
                  </from>
                  <to>
                    <xdr:col>4</xdr:col>
                    <xdr:colOff>76200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Check Box 2">
              <controlPr defaultSize="0" autoFill="0" autoLine="0" autoPict="0">
                <anchor moveWithCells="1">
                  <from>
                    <xdr:col>2</xdr:col>
                    <xdr:colOff>704850</xdr:colOff>
                    <xdr:row>5</xdr:row>
                    <xdr:rowOff>104775</xdr:rowOff>
                  </from>
                  <to>
                    <xdr:col>4</xdr:col>
                    <xdr:colOff>76200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Check Box 3">
              <controlPr defaultSize="0" autoFill="0" autoLine="0" autoPict="0">
                <anchor moveWithCells="1">
                  <from>
                    <xdr:col>2</xdr:col>
                    <xdr:colOff>704850</xdr:colOff>
                    <xdr:row>6</xdr:row>
                    <xdr:rowOff>104775</xdr:rowOff>
                  </from>
                  <to>
                    <xdr:col>4</xdr:col>
                    <xdr:colOff>76200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Check Box 4">
              <controlPr defaultSize="0" autoFill="0" autoLine="0" autoPict="0">
                <anchor moveWithCells="1">
                  <from>
                    <xdr:col>2</xdr:col>
                    <xdr:colOff>704850</xdr:colOff>
                    <xdr:row>7</xdr:row>
                    <xdr:rowOff>104775</xdr:rowOff>
                  </from>
                  <to>
                    <xdr:col>4</xdr:col>
                    <xdr:colOff>76200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Check Box 5">
              <controlPr defaultSize="0" autoFill="0" autoLine="0" autoPict="0">
                <anchor moveWithCells="1">
                  <from>
                    <xdr:col>2</xdr:col>
                    <xdr:colOff>704850</xdr:colOff>
                    <xdr:row>8</xdr:row>
                    <xdr:rowOff>104775</xdr:rowOff>
                  </from>
                  <to>
                    <xdr:col>4</xdr:col>
                    <xdr:colOff>76200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Check Box 6">
              <controlPr defaultSize="0" autoFill="0" autoLine="0" autoPict="0">
                <anchor moveWithCells="1">
                  <from>
                    <xdr:col>2</xdr:col>
                    <xdr:colOff>704850</xdr:colOff>
                    <xdr:row>9</xdr:row>
                    <xdr:rowOff>123825</xdr:rowOff>
                  </from>
                  <to>
                    <xdr:col>4</xdr:col>
                    <xdr:colOff>76200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Check Box 7">
              <controlPr defaultSize="0" autoFill="0" autoLine="0" autoPict="0">
                <anchor moveWithCells="1">
                  <from>
                    <xdr:col>2</xdr:col>
                    <xdr:colOff>704850</xdr:colOff>
                    <xdr:row>10</xdr:row>
                    <xdr:rowOff>114300</xdr:rowOff>
                  </from>
                  <to>
                    <xdr:col>4</xdr:col>
                    <xdr:colOff>76200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Check Box 8">
              <controlPr defaultSize="0" autoFill="0" autoLine="0" autoPict="0">
                <anchor moveWithCells="1">
                  <from>
                    <xdr:col>2</xdr:col>
                    <xdr:colOff>704850</xdr:colOff>
                    <xdr:row>11</xdr:row>
                    <xdr:rowOff>104775</xdr:rowOff>
                  </from>
                  <to>
                    <xdr:col>4</xdr:col>
                    <xdr:colOff>76200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2" name="Check Box 9">
              <controlPr defaultSize="0" autoFill="0" autoLine="0" autoPict="0">
                <anchor moveWithCells="1">
                  <from>
                    <xdr:col>2</xdr:col>
                    <xdr:colOff>704850</xdr:colOff>
                    <xdr:row>12</xdr:row>
                    <xdr:rowOff>104775</xdr:rowOff>
                  </from>
                  <to>
                    <xdr:col>4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3" name="Check Box 10">
              <controlPr defaultSize="0" autoFill="0" autoLine="0" autoPict="0">
                <anchor moveWithCells="1">
                  <from>
                    <xdr:col>2</xdr:col>
                    <xdr:colOff>704850</xdr:colOff>
                    <xdr:row>14</xdr:row>
                    <xdr:rowOff>123825</xdr:rowOff>
                  </from>
                  <to>
                    <xdr:col>4</xdr:col>
                    <xdr:colOff>76200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4" name="Check Box 11">
              <controlPr defaultSize="0" autoFill="0" autoLine="0" autoPict="0">
                <anchor moveWithCells="1">
                  <from>
                    <xdr:col>2</xdr:col>
                    <xdr:colOff>704850</xdr:colOff>
                    <xdr:row>15</xdr:row>
                    <xdr:rowOff>114300</xdr:rowOff>
                  </from>
                  <to>
                    <xdr:col>4</xdr:col>
                    <xdr:colOff>76200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5" name="Check Box 12">
              <controlPr defaultSize="0" autoFill="0" autoLine="0" autoPict="0">
                <anchor moveWithCells="1">
                  <from>
                    <xdr:col>2</xdr:col>
                    <xdr:colOff>704850</xdr:colOff>
                    <xdr:row>16</xdr:row>
                    <xdr:rowOff>104775</xdr:rowOff>
                  </from>
                  <to>
                    <xdr:col>4</xdr:col>
                    <xdr:colOff>76200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16" name="Check Box 13">
              <controlPr defaultSize="0" autoFill="0" autoLine="0" autoPict="0">
                <anchor moveWithCells="1">
                  <from>
                    <xdr:col>0</xdr:col>
                    <xdr:colOff>228600</xdr:colOff>
                    <xdr:row>31</xdr:row>
                    <xdr:rowOff>114300</xdr:rowOff>
                  </from>
                  <to>
                    <xdr:col>2</xdr:col>
                    <xdr:colOff>76200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17" name="Check Box 14">
              <controlPr defaultSize="0" autoFill="0" autoLine="0" autoPict="0">
                <anchor moveWithCells="1">
                  <from>
                    <xdr:col>0</xdr:col>
                    <xdr:colOff>228600</xdr:colOff>
                    <xdr:row>32</xdr:row>
                    <xdr:rowOff>114300</xdr:rowOff>
                  </from>
                  <to>
                    <xdr:col>2</xdr:col>
                    <xdr:colOff>76200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8" name="Check Box 15">
              <controlPr defaultSize="0" autoFill="0" autoLine="0" autoPict="0">
                <anchor moveWithCells="1">
                  <from>
                    <xdr:col>0</xdr:col>
                    <xdr:colOff>228600</xdr:colOff>
                    <xdr:row>33</xdr:row>
                    <xdr:rowOff>104775</xdr:rowOff>
                  </from>
                  <to>
                    <xdr:col>2</xdr:col>
                    <xdr:colOff>76200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9" name="Check Box 16">
              <controlPr defaultSize="0" autoFill="0" autoLine="0" autoPict="0">
                <anchor moveWithCells="1">
                  <from>
                    <xdr:col>0</xdr:col>
                    <xdr:colOff>228600</xdr:colOff>
                    <xdr:row>34</xdr:row>
                    <xdr:rowOff>104775</xdr:rowOff>
                  </from>
                  <to>
                    <xdr:col>2</xdr:col>
                    <xdr:colOff>76200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20" name="Check Box 17">
              <controlPr defaultSize="0" autoFill="0" autoLine="0" autoPict="0">
                <anchor moveWithCells="1">
                  <from>
                    <xdr:col>0</xdr:col>
                    <xdr:colOff>228600</xdr:colOff>
                    <xdr:row>35</xdr:row>
                    <xdr:rowOff>104775</xdr:rowOff>
                  </from>
                  <to>
                    <xdr:col>2</xdr:col>
                    <xdr:colOff>76200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21" name="Check Box 18">
              <controlPr defaultSize="0" autoFill="0" autoLine="0" autoPict="0">
                <anchor moveWithCells="1">
                  <from>
                    <xdr:col>2</xdr:col>
                    <xdr:colOff>704850</xdr:colOff>
                    <xdr:row>13</xdr:row>
                    <xdr:rowOff>104775</xdr:rowOff>
                  </from>
                  <to>
                    <xdr:col>4</xdr:col>
                    <xdr:colOff>66675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22" name="Check Box 20">
              <controlPr defaultSize="0" autoFill="0" autoLine="0" autoPict="0">
                <anchor moveWithCells="1">
                  <from>
                    <xdr:col>2</xdr:col>
                    <xdr:colOff>704850</xdr:colOff>
                    <xdr:row>17</xdr:row>
                    <xdr:rowOff>123825</xdr:rowOff>
                  </from>
                  <to>
                    <xdr:col>4</xdr:col>
                    <xdr:colOff>76200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H65"/>
  <sheetViews>
    <sheetView workbookViewId="0">
      <selection activeCell="D39" sqref="C38:D39"/>
    </sheetView>
  </sheetViews>
  <sheetFormatPr defaultColWidth="9" defaultRowHeight="14.25"/>
  <cols>
    <col min="1" max="1" width="3" style="117" customWidth="1"/>
    <col min="2" max="2" width="17.5" style="117" customWidth="1"/>
    <col min="3" max="3" width="20.125" style="117" customWidth="1"/>
    <col min="4" max="4" width="25.875" style="117" bestFit="1" customWidth="1"/>
    <col min="5" max="5" width="25.875" style="117" customWidth="1"/>
    <col min="6" max="8" width="14.125" style="117" customWidth="1"/>
    <col min="9" max="9" width="18.625" style="117" bestFit="1" customWidth="1"/>
    <col min="10" max="10" width="17.375" style="117" customWidth="1"/>
    <col min="11" max="16384" width="9" style="117"/>
  </cols>
  <sheetData>
    <row r="1" spans="2:8" ht="21">
      <c r="B1" s="198" t="s">
        <v>265</v>
      </c>
    </row>
    <row r="2" spans="2:8" ht="16.5">
      <c r="B2" s="197" t="s">
        <v>264</v>
      </c>
    </row>
    <row r="3" spans="2:8" ht="16.5">
      <c r="B3" s="197" t="s">
        <v>263</v>
      </c>
    </row>
    <row r="4" spans="2:8" ht="16.5">
      <c r="B4" s="197" t="s">
        <v>262</v>
      </c>
    </row>
    <row r="5" spans="2:8" ht="16.5">
      <c r="B5" s="197" t="s">
        <v>261</v>
      </c>
      <c r="E5" s="196"/>
    </row>
    <row r="6" spans="2:8" ht="21.95" customHeight="1" thickBot="1">
      <c r="B6" s="195" t="s">
        <v>260</v>
      </c>
    </row>
    <row r="7" spans="2:8" ht="18" customHeight="1" thickBot="1">
      <c r="B7" s="194" t="s">
        <v>259</v>
      </c>
      <c r="C7" s="611" t="s">
        <v>258</v>
      </c>
      <c r="D7" s="612"/>
      <c r="E7" s="619" t="s">
        <v>257</v>
      </c>
      <c r="F7" s="619"/>
      <c r="G7" s="619"/>
      <c r="H7" s="620"/>
    </row>
    <row r="8" spans="2:8" ht="13.5" customHeight="1">
      <c r="B8" s="610" t="s">
        <v>256</v>
      </c>
      <c r="C8" s="613" t="s">
        <v>199</v>
      </c>
      <c r="D8" s="614"/>
      <c r="E8" s="615"/>
      <c r="F8" s="193"/>
      <c r="G8" s="192"/>
      <c r="H8" s="191"/>
    </row>
    <row r="9" spans="2:8" ht="18" customHeight="1">
      <c r="B9" s="600"/>
      <c r="C9" s="182" t="s">
        <v>255</v>
      </c>
      <c r="D9" s="172" t="s">
        <v>254</v>
      </c>
      <c r="E9" s="183" t="s">
        <v>253</v>
      </c>
      <c r="F9" s="181"/>
      <c r="G9" s="151"/>
      <c r="H9" s="149"/>
    </row>
    <row r="10" spans="2:8" ht="18" customHeight="1">
      <c r="B10" s="600"/>
      <c r="C10" s="182" t="s">
        <v>252</v>
      </c>
      <c r="D10" s="172" t="s">
        <v>251</v>
      </c>
      <c r="E10" s="152" t="s">
        <v>251</v>
      </c>
      <c r="F10" s="181"/>
      <c r="G10" s="151"/>
      <c r="H10" s="149"/>
    </row>
    <row r="11" spans="2:8" ht="18" customHeight="1">
      <c r="B11" s="600"/>
      <c r="C11" s="188" t="s">
        <v>250</v>
      </c>
      <c r="D11" s="179" t="s">
        <v>249</v>
      </c>
      <c r="E11" s="146" t="s">
        <v>249</v>
      </c>
      <c r="F11" s="181"/>
      <c r="G11" s="151"/>
      <c r="H11" s="149"/>
    </row>
    <row r="12" spans="2:8" ht="18" customHeight="1">
      <c r="B12" s="600"/>
      <c r="C12" s="185" t="s">
        <v>248</v>
      </c>
      <c r="D12" s="184" t="s">
        <v>247</v>
      </c>
      <c r="E12" s="183" t="s">
        <v>247</v>
      </c>
      <c r="F12" s="181"/>
      <c r="G12" s="151"/>
      <c r="H12" s="149"/>
    </row>
    <row r="13" spans="2:8" ht="28.5">
      <c r="B13" s="600"/>
      <c r="C13" s="136" t="s">
        <v>246</v>
      </c>
      <c r="D13" s="190" t="s">
        <v>245</v>
      </c>
      <c r="E13" s="189" t="s">
        <v>244</v>
      </c>
      <c r="F13" s="181"/>
      <c r="G13" s="151"/>
      <c r="H13" s="149"/>
    </row>
    <row r="14" spans="2:8" ht="28.5">
      <c r="B14" s="600"/>
      <c r="C14" s="188" t="s">
        <v>243</v>
      </c>
      <c r="D14" s="187" t="s">
        <v>242</v>
      </c>
      <c r="E14" s="186" t="s">
        <v>241</v>
      </c>
      <c r="F14" s="181"/>
      <c r="G14" s="151"/>
      <c r="H14" s="149"/>
    </row>
    <row r="15" spans="2:8" ht="18" customHeight="1">
      <c r="B15" s="600"/>
      <c r="C15" s="185" t="s">
        <v>240</v>
      </c>
      <c r="D15" s="184" t="s">
        <v>239</v>
      </c>
      <c r="E15" s="183" t="s">
        <v>239</v>
      </c>
      <c r="F15" s="181"/>
      <c r="G15" s="151"/>
      <c r="H15" s="149"/>
    </row>
    <row r="16" spans="2:8" ht="18" customHeight="1">
      <c r="B16" s="600"/>
      <c r="C16" s="182" t="s">
        <v>238</v>
      </c>
      <c r="D16" s="172" t="s">
        <v>237</v>
      </c>
      <c r="E16" s="152" t="s">
        <v>237</v>
      </c>
      <c r="F16" s="181"/>
      <c r="G16" s="151"/>
      <c r="H16" s="149"/>
    </row>
    <row r="17" spans="2:8" ht="18" customHeight="1">
      <c r="B17" s="600"/>
      <c r="C17" s="182" t="s">
        <v>236</v>
      </c>
      <c r="D17" s="172" t="s">
        <v>235</v>
      </c>
      <c r="E17" s="152" t="s">
        <v>235</v>
      </c>
      <c r="F17" s="181"/>
      <c r="G17" s="151"/>
      <c r="H17" s="149"/>
    </row>
    <row r="18" spans="2:8" ht="18" customHeight="1">
      <c r="B18" s="600"/>
      <c r="C18" s="182" t="s">
        <v>234</v>
      </c>
      <c r="D18" s="172" t="s">
        <v>233</v>
      </c>
      <c r="E18" s="152" t="s">
        <v>233</v>
      </c>
      <c r="F18" s="181"/>
      <c r="G18" s="151"/>
      <c r="H18" s="149"/>
    </row>
    <row r="19" spans="2:8" ht="18" customHeight="1">
      <c r="B19" s="600"/>
      <c r="C19" s="182" t="s">
        <v>232</v>
      </c>
      <c r="D19" s="172" t="s">
        <v>187</v>
      </c>
      <c r="E19" s="152" t="s">
        <v>187</v>
      </c>
      <c r="F19" s="181"/>
      <c r="G19" s="151"/>
      <c r="H19" s="149"/>
    </row>
    <row r="20" spans="2:8" ht="18" customHeight="1">
      <c r="B20" s="600"/>
      <c r="C20" s="182" t="s">
        <v>231</v>
      </c>
      <c r="D20" s="172" t="s">
        <v>185</v>
      </c>
      <c r="E20" s="152" t="s">
        <v>185</v>
      </c>
      <c r="F20" s="181"/>
      <c r="G20" s="151"/>
      <c r="H20" s="149"/>
    </row>
    <row r="21" spans="2:8" ht="18.600000000000001" customHeight="1">
      <c r="B21" s="600"/>
      <c r="C21" s="180" t="s">
        <v>230</v>
      </c>
      <c r="D21" s="179" t="s">
        <v>185</v>
      </c>
      <c r="E21" s="146" t="s">
        <v>185</v>
      </c>
      <c r="F21" s="178"/>
      <c r="G21" s="145"/>
      <c r="H21" s="143"/>
    </row>
    <row r="22" spans="2:8" ht="18.600000000000001" customHeight="1">
      <c r="B22" s="600"/>
      <c r="C22" s="603" t="s">
        <v>184</v>
      </c>
      <c r="D22" s="604"/>
      <c r="E22" s="142" t="s">
        <v>229</v>
      </c>
      <c r="F22" s="141" t="s">
        <v>228</v>
      </c>
      <c r="G22" s="141" t="s">
        <v>227</v>
      </c>
      <c r="H22" s="140" t="s">
        <v>226</v>
      </c>
    </row>
    <row r="23" spans="2:8" ht="18" customHeight="1">
      <c r="B23" s="600"/>
      <c r="C23" s="139" t="s">
        <v>225</v>
      </c>
      <c r="D23" s="177"/>
      <c r="E23" s="616" t="s">
        <v>178</v>
      </c>
      <c r="F23" s="137" t="s">
        <v>224</v>
      </c>
      <c r="G23" s="137" t="s">
        <v>223</v>
      </c>
      <c r="H23" s="176" t="s">
        <v>222</v>
      </c>
    </row>
    <row r="24" spans="2:8" ht="18" customHeight="1">
      <c r="B24" s="600"/>
      <c r="C24" s="175" t="s">
        <v>221</v>
      </c>
      <c r="D24" s="174"/>
      <c r="E24" s="617"/>
      <c r="F24" s="134" t="s">
        <v>220</v>
      </c>
      <c r="G24" s="134" t="s">
        <v>219</v>
      </c>
      <c r="H24" s="171" t="s">
        <v>218</v>
      </c>
    </row>
    <row r="25" spans="2:8" ht="18.600000000000001" customHeight="1">
      <c r="B25" s="600"/>
      <c r="C25" s="173" t="s">
        <v>217</v>
      </c>
      <c r="D25" s="172"/>
      <c r="E25" s="617"/>
      <c r="F25" s="134" t="s">
        <v>216</v>
      </c>
      <c r="G25" s="134" t="s">
        <v>215</v>
      </c>
      <c r="H25" s="171" t="s">
        <v>215</v>
      </c>
    </row>
    <row r="26" spans="2:8" ht="18" customHeight="1">
      <c r="B26" s="600"/>
      <c r="C26" s="173" t="s">
        <v>214</v>
      </c>
      <c r="D26" s="172"/>
      <c r="E26" s="617"/>
      <c r="F26" s="134" t="s">
        <v>213</v>
      </c>
      <c r="G26" s="134" t="s">
        <v>213</v>
      </c>
      <c r="H26" s="171" t="s">
        <v>212</v>
      </c>
    </row>
    <row r="27" spans="2:8" ht="18" customHeight="1">
      <c r="B27" s="600"/>
      <c r="C27" s="173" t="s">
        <v>174</v>
      </c>
      <c r="D27" s="172"/>
      <c r="E27" s="617"/>
      <c r="F27" s="134" t="s">
        <v>211</v>
      </c>
      <c r="G27" s="134" t="s">
        <v>210</v>
      </c>
      <c r="H27" s="171" t="s">
        <v>209</v>
      </c>
    </row>
    <row r="28" spans="2:8" ht="18" customHeight="1">
      <c r="B28" s="600"/>
      <c r="C28" s="173" t="s">
        <v>208</v>
      </c>
      <c r="D28" s="172"/>
      <c r="E28" s="617"/>
      <c r="F28" s="134" t="s">
        <v>207</v>
      </c>
      <c r="G28" s="134" t="s">
        <v>206</v>
      </c>
      <c r="H28" s="171" t="s">
        <v>205</v>
      </c>
    </row>
    <row r="29" spans="2:8" ht="18.600000000000001" customHeight="1" thickBot="1">
      <c r="B29" s="602"/>
      <c r="C29" s="170" t="s">
        <v>169</v>
      </c>
      <c r="D29" s="169"/>
      <c r="E29" s="618"/>
      <c r="F29" s="161">
        <v>1</v>
      </c>
      <c r="G29" s="161">
        <v>1</v>
      </c>
      <c r="H29" s="168">
        <v>1</v>
      </c>
    </row>
    <row r="30" spans="2:8" ht="18.600000000000001" customHeight="1" thickTop="1">
      <c r="B30" s="599" t="s">
        <v>204</v>
      </c>
      <c r="C30" s="605" t="s">
        <v>199</v>
      </c>
      <c r="D30" s="606"/>
      <c r="E30" s="607"/>
      <c r="F30" s="160"/>
      <c r="G30" s="160"/>
      <c r="H30" s="158"/>
    </row>
    <row r="31" spans="2:8" ht="27.6" customHeight="1">
      <c r="B31" s="600"/>
      <c r="C31" s="157" t="s">
        <v>198</v>
      </c>
      <c r="D31" s="156" t="s">
        <v>197</v>
      </c>
      <c r="E31" s="155" t="s">
        <v>197</v>
      </c>
      <c r="F31" s="151"/>
      <c r="G31" s="151"/>
      <c r="H31" s="149"/>
    </row>
    <row r="32" spans="2:8" ht="18" customHeight="1">
      <c r="B32" s="600"/>
      <c r="C32" s="154" t="s">
        <v>196</v>
      </c>
      <c r="D32" s="153" t="s">
        <v>203</v>
      </c>
      <c r="E32" s="152" t="s">
        <v>202</v>
      </c>
      <c r="F32" s="151"/>
      <c r="G32" s="151"/>
      <c r="H32" s="149"/>
    </row>
    <row r="33" spans="2:8" ht="18" customHeight="1">
      <c r="B33" s="600"/>
      <c r="C33" s="154" t="s">
        <v>194</v>
      </c>
      <c r="D33" s="153" t="s">
        <v>193</v>
      </c>
      <c r="E33" s="152" t="s">
        <v>193</v>
      </c>
      <c r="F33" s="151"/>
      <c r="G33" s="151"/>
      <c r="H33" s="149"/>
    </row>
    <row r="34" spans="2:8" ht="18" customHeight="1">
      <c r="B34" s="600"/>
      <c r="C34" s="154" t="s">
        <v>201</v>
      </c>
      <c r="D34" s="153" t="s">
        <v>191</v>
      </c>
      <c r="E34" s="152" t="s">
        <v>191</v>
      </c>
      <c r="F34" s="151"/>
      <c r="G34" s="151"/>
      <c r="H34" s="149"/>
    </row>
    <row r="35" spans="2:8" ht="18" customHeight="1">
      <c r="B35" s="600"/>
      <c r="C35" s="154" t="s">
        <v>189</v>
      </c>
      <c r="D35" s="153">
        <v>5</v>
      </c>
      <c r="E35" s="152">
        <v>5</v>
      </c>
      <c r="F35" s="151"/>
      <c r="G35" s="151"/>
      <c r="H35" s="149"/>
    </row>
    <row r="36" spans="2:8" ht="18" customHeight="1">
      <c r="B36" s="600"/>
      <c r="C36" s="154" t="s">
        <v>188</v>
      </c>
      <c r="D36" s="153" t="s">
        <v>187</v>
      </c>
      <c r="E36" s="152" t="s">
        <v>187</v>
      </c>
      <c r="F36" s="151"/>
      <c r="G36" s="151"/>
      <c r="H36" s="149"/>
    </row>
    <row r="37" spans="2:8" ht="18.600000000000001" customHeight="1">
      <c r="B37" s="600"/>
      <c r="C37" s="148" t="s">
        <v>186</v>
      </c>
      <c r="D37" s="147" t="s">
        <v>185</v>
      </c>
      <c r="E37" s="146" t="s">
        <v>185</v>
      </c>
      <c r="F37" s="145"/>
      <c r="G37" s="145"/>
      <c r="H37" s="143"/>
    </row>
    <row r="38" spans="2:8" ht="18.600000000000001" customHeight="1">
      <c r="B38" s="600"/>
      <c r="C38" s="603" t="s">
        <v>184</v>
      </c>
      <c r="D38" s="604"/>
      <c r="E38" s="142" t="s">
        <v>183</v>
      </c>
      <c r="F38" s="141" t="s">
        <v>182</v>
      </c>
      <c r="G38" s="141" t="s">
        <v>181</v>
      </c>
      <c r="H38" s="140" t="s">
        <v>180</v>
      </c>
    </row>
    <row r="39" spans="2:8" ht="18.600000000000001" customHeight="1">
      <c r="B39" s="600"/>
      <c r="C39" s="139" t="s">
        <v>190</v>
      </c>
      <c r="D39" s="138"/>
      <c r="E39" s="240" t="s">
        <v>392</v>
      </c>
      <c r="F39" s="166" t="s">
        <v>393</v>
      </c>
      <c r="G39" s="166" t="s">
        <v>394</v>
      </c>
      <c r="H39" s="608" t="s">
        <v>178</v>
      </c>
    </row>
    <row r="40" spans="2:8" ht="18.600000000000001" customHeight="1">
      <c r="B40" s="600"/>
      <c r="C40" s="139" t="s">
        <v>179</v>
      </c>
      <c r="D40" s="167"/>
      <c r="E40" s="239" t="s">
        <v>173</v>
      </c>
      <c r="F40" s="137" t="s">
        <v>172</v>
      </c>
      <c r="G40" s="137" t="s">
        <v>171</v>
      </c>
      <c r="H40" s="597"/>
    </row>
    <row r="41" spans="2:8" ht="18" customHeight="1">
      <c r="B41" s="600"/>
      <c r="C41" s="136" t="s">
        <v>177</v>
      </c>
      <c r="D41" s="153"/>
      <c r="E41" s="165" t="s">
        <v>176</v>
      </c>
      <c r="F41" s="134" t="s">
        <v>175</v>
      </c>
      <c r="G41" s="134" t="s">
        <v>175</v>
      </c>
      <c r="H41" s="597"/>
    </row>
    <row r="42" spans="2:8" ht="18" customHeight="1">
      <c r="B42" s="600"/>
      <c r="C42" s="136" t="s">
        <v>174</v>
      </c>
      <c r="D42" s="153"/>
      <c r="E42" s="165" t="s">
        <v>173</v>
      </c>
      <c r="F42" s="134" t="s">
        <v>172</v>
      </c>
      <c r="G42" s="134" t="s">
        <v>171</v>
      </c>
      <c r="H42" s="597"/>
    </row>
    <row r="43" spans="2:8" ht="18" customHeight="1">
      <c r="B43" s="600"/>
      <c r="C43" s="136" t="s">
        <v>170</v>
      </c>
      <c r="D43" s="153"/>
      <c r="E43" s="165" t="s">
        <v>395</v>
      </c>
      <c r="F43" s="134" t="s">
        <v>396</v>
      </c>
      <c r="G43" s="134" t="s">
        <v>396</v>
      </c>
      <c r="H43" s="597"/>
    </row>
    <row r="44" spans="2:8" ht="18.600000000000001" customHeight="1" thickBot="1">
      <c r="B44" s="602"/>
      <c r="C44" s="164" t="s">
        <v>169</v>
      </c>
      <c r="D44" s="163"/>
      <c r="E44" s="162">
        <v>5</v>
      </c>
      <c r="F44" s="161">
        <v>5</v>
      </c>
      <c r="G44" s="161">
        <v>5</v>
      </c>
      <c r="H44" s="609"/>
    </row>
    <row r="45" spans="2:8" ht="18.600000000000001" customHeight="1" thickTop="1">
      <c r="B45" s="599" t="s">
        <v>200</v>
      </c>
      <c r="C45" s="605" t="s">
        <v>199</v>
      </c>
      <c r="D45" s="606"/>
      <c r="E45" s="607"/>
      <c r="F45" s="160"/>
      <c r="G45" s="159"/>
      <c r="H45" s="158"/>
    </row>
    <row r="46" spans="2:8" ht="27.6" customHeight="1">
      <c r="B46" s="600"/>
      <c r="C46" s="157" t="s">
        <v>198</v>
      </c>
      <c r="D46" s="156" t="s">
        <v>197</v>
      </c>
      <c r="E46" s="155" t="s">
        <v>197</v>
      </c>
      <c r="F46" s="151"/>
      <c r="G46" s="150"/>
      <c r="H46" s="149"/>
    </row>
    <row r="47" spans="2:8" ht="18.600000000000001" customHeight="1">
      <c r="B47" s="600"/>
      <c r="C47" s="154" t="s">
        <v>196</v>
      </c>
      <c r="D47" s="153" t="s">
        <v>195</v>
      </c>
      <c r="E47" s="152" t="s">
        <v>195</v>
      </c>
      <c r="F47" s="151"/>
      <c r="G47" s="150"/>
      <c r="H47" s="149"/>
    </row>
    <row r="48" spans="2:8" ht="18.600000000000001" customHeight="1">
      <c r="B48" s="600"/>
      <c r="C48" s="154" t="s">
        <v>194</v>
      </c>
      <c r="D48" s="153" t="s">
        <v>193</v>
      </c>
      <c r="E48" s="152" t="s">
        <v>193</v>
      </c>
      <c r="F48" s="151"/>
      <c r="G48" s="150"/>
      <c r="H48" s="149"/>
    </row>
    <row r="49" spans="2:8" ht="18.600000000000001" customHeight="1">
      <c r="B49" s="600"/>
      <c r="C49" s="154" t="s">
        <v>192</v>
      </c>
      <c r="D49" s="153" t="s">
        <v>191</v>
      </c>
      <c r="E49" s="152" t="s">
        <v>191</v>
      </c>
      <c r="F49" s="151"/>
      <c r="G49" s="150"/>
      <c r="H49" s="149"/>
    </row>
    <row r="50" spans="2:8" ht="18.600000000000001" customHeight="1">
      <c r="B50" s="600"/>
      <c r="C50" s="154" t="s">
        <v>189</v>
      </c>
      <c r="D50" s="153">
        <v>5</v>
      </c>
      <c r="E50" s="152">
        <v>5</v>
      </c>
      <c r="F50" s="151"/>
      <c r="G50" s="150"/>
      <c r="H50" s="149"/>
    </row>
    <row r="51" spans="2:8" ht="18" customHeight="1">
      <c r="B51" s="600"/>
      <c r="C51" s="154" t="s">
        <v>188</v>
      </c>
      <c r="D51" s="153" t="s">
        <v>187</v>
      </c>
      <c r="E51" s="152" t="s">
        <v>187</v>
      </c>
      <c r="F51" s="151"/>
      <c r="G51" s="150"/>
      <c r="H51" s="149"/>
    </row>
    <row r="52" spans="2:8" ht="18.600000000000001" customHeight="1">
      <c r="B52" s="600"/>
      <c r="C52" s="148" t="s">
        <v>186</v>
      </c>
      <c r="D52" s="147" t="s">
        <v>185</v>
      </c>
      <c r="E52" s="146" t="s">
        <v>185</v>
      </c>
      <c r="F52" s="145"/>
      <c r="G52" s="144"/>
      <c r="H52" s="143"/>
    </row>
    <row r="53" spans="2:8" ht="18.600000000000001" customHeight="1">
      <c r="B53" s="600"/>
      <c r="C53" s="603" t="s">
        <v>184</v>
      </c>
      <c r="D53" s="604"/>
      <c r="E53" s="142" t="s">
        <v>183</v>
      </c>
      <c r="F53" s="141" t="s">
        <v>182</v>
      </c>
      <c r="G53" s="141" t="s">
        <v>181</v>
      </c>
      <c r="H53" s="140" t="s">
        <v>180</v>
      </c>
    </row>
    <row r="54" spans="2:8" ht="18.600000000000001" customHeight="1">
      <c r="B54" s="600"/>
      <c r="C54" s="139" t="s">
        <v>190</v>
      </c>
      <c r="D54" s="138"/>
      <c r="E54" s="137" t="s">
        <v>392</v>
      </c>
      <c r="F54" s="137" t="s">
        <v>393</v>
      </c>
      <c r="G54" s="137" t="s">
        <v>394</v>
      </c>
      <c r="H54" s="238"/>
    </row>
    <row r="55" spans="2:8" ht="18" customHeight="1">
      <c r="B55" s="600"/>
      <c r="C55" s="139" t="s">
        <v>179</v>
      </c>
      <c r="D55" s="138"/>
      <c r="E55" s="137" t="s">
        <v>173</v>
      </c>
      <c r="F55" s="137" t="s">
        <v>172</v>
      </c>
      <c r="G55" s="137" t="s">
        <v>171</v>
      </c>
      <c r="H55" s="597" t="s">
        <v>178</v>
      </c>
    </row>
    <row r="56" spans="2:8" ht="18" customHeight="1">
      <c r="B56" s="600"/>
      <c r="C56" s="136" t="s">
        <v>177</v>
      </c>
      <c r="D56" s="135"/>
      <c r="E56" s="134" t="s">
        <v>176</v>
      </c>
      <c r="F56" s="134" t="s">
        <v>175</v>
      </c>
      <c r="G56" s="134" t="s">
        <v>175</v>
      </c>
      <c r="H56" s="597"/>
    </row>
    <row r="57" spans="2:8" ht="18" customHeight="1">
      <c r="B57" s="600"/>
      <c r="C57" s="136" t="s">
        <v>174</v>
      </c>
      <c r="D57" s="135"/>
      <c r="E57" s="165" t="s">
        <v>173</v>
      </c>
      <c r="F57" s="134" t="s">
        <v>172</v>
      </c>
      <c r="G57" s="134" t="s">
        <v>171</v>
      </c>
      <c r="H57" s="597"/>
    </row>
    <row r="58" spans="2:8" ht="18" customHeight="1">
      <c r="B58" s="600"/>
      <c r="C58" s="136" t="s">
        <v>170</v>
      </c>
      <c r="D58" s="135"/>
      <c r="E58" s="165" t="s">
        <v>395</v>
      </c>
      <c r="F58" s="134" t="s">
        <v>396</v>
      </c>
      <c r="G58" s="134" t="s">
        <v>396</v>
      </c>
      <c r="H58" s="597"/>
    </row>
    <row r="59" spans="2:8" ht="18.600000000000001" customHeight="1" thickBot="1">
      <c r="B59" s="601"/>
      <c r="C59" s="133" t="s">
        <v>169</v>
      </c>
      <c r="D59" s="132"/>
      <c r="E59" s="131">
        <v>5</v>
      </c>
      <c r="F59" s="131">
        <v>5</v>
      </c>
      <c r="G59" s="131">
        <v>5</v>
      </c>
      <c r="H59" s="598"/>
    </row>
    <row r="60" spans="2:8">
      <c r="C60" s="130"/>
      <c r="D60" s="130"/>
      <c r="G60" s="128"/>
      <c r="H60" s="128"/>
    </row>
    <row r="61" spans="2:8" ht="16.5" thickBot="1">
      <c r="B61" s="129" t="s">
        <v>168</v>
      </c>
      <c r="G61" s="128"/>
      <c r="H61" s="128"/>
    </row>
    <row r="62" spans="2:8">
      <c r="B62" s="127"/>
      <c r="C62" s="126"/>
      <c r="D62" s="126"/>
      <c r="E62" s="126"/>
      <c r="F62" s="126"/>
      <c r="G62" s="125"/>
      <c r="H62" s="124"/>
    </row>
    <row r="63" spans="2:8">
      <c r="B63" s="123"/>
      <c r="C63" s="122"/>
      <c r="D63" s="122"/>
      <c r="E63" s="122"/>
      <c r="F63" s="122"/>
      <c r="G63" s="122"/>
      <c r="H63" s="121"/>
    </row>
    <row r="64" spans="2:8">
      <c r="B64" s="123"/>
      <c r="C64" s="122"/>
      <c r="D64" s="122"/>
      <c r="E64" s="122"/>
      <c r="F64" s="122"/>
      <c r="G64" s="122"/>
      <c r="H64" s="121"/>
    </row>
    <row r="65" spans="2:8" ht="15" thickBot="1">
      <c r="B65" s="120"/>
      <c r="C65" s="119"/>
      <c r="D65" s="119"/>
      <c r="E65" s="119"/>
      <c r="F65" s="119"/>
      <c r="G65" s="119"/>
      <c r="H65" s="118"/>
    </row>
  </sheetData>
  <mergeCells count="14">
    <mergeCell ref="B8:B29"/>
    <mergeCell ref="C22:D22"/>
    <mergeCell ref="C7:D7"/>
    <mergeCell ref="C8:E8"/>
    <mergeCell ref="E23:E29"/>
    <mergeCell ref="E7:H7"/>
    <mergeCell ref="H55:H59"/>
    <mergeCell ref="B45:B59"/>
    <mergeCell ref="B30:B44"/>
    <mergeCell ref="C53:D53"/>
    <mergeCell ref="C45:E45"/>
    <mergeCell ref="C30:E30"/>
    <mergeCell ref="C38:D38"/>
    <mergeCell ref="H39:H44"/>
  </mergeCells>
  <phoneticPr fontId="10"/>
  <printOptions horizontalCentered="1" verticalCentered="1"/>
  <pageMargins left="0.23622047244094491" right="0.23622047244094491" top="0.74803149606299213" bottom="0.15748031496062992" header="0.31496062992125984" footer="0.31496062992125984"/>
  <pageSetup paperSize="9" scale="64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44" operator="notContains" id="{6416BA3A-59E2-402A-B144-E00597BD5386}">
            <xm:f>ISERROR(SEARCH($E$9,D9))</xm:f>
            <xm:f>$E$9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notContainsText" priority="43" operator="notContains" id="{A03EC72E-E7D6-429D-8260-AC91D3F1BA10}">
            <xm:f>ISERROR(SEARCH($E$10,D10))</xm:f>
            <xm:f>$E$10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notContainsText" priority="42" operator="notContains" id="{F7E7968D-9937-44FE-B00A-3D0848E149A9}">
            <xm:f>ISERROR(SEARCH($E$11,D11))</xm:f>
            <xm:f>$E$11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notContainsText" priority="40" operator="notContains" id="{B29A9B5B-6BFE-42E2-B09C-C94040CF1014}">
            <xm:f>ISERROR(SEARCH($E$12,D12))</xm:f>
            <xm:f>$E$12</xm:f>
            <x14:dxf>
              <fill>
                <patternFill>
                  <bgColor rgb="FFFF0000"/>
                </patternFill>
              </fill>
            </x14:dxf>
          </x14:cfRule>
          <x14:cfRule type="notContainsText" priority="41" operator="notContains" id="{C222A16C-9225-4A74-AA53-4A382350B571}">
            <xm:f>ISERROR(SEARCH($E$12,D12))</xm:f>
            <xm:f>$E$12</xm:f>
            <x14:dxf/>
          </x14:cfRule>
          <xm:sqref>D12</xm:sqref>
        </x14:conditionalFormatting>
        <x14:conditionalFormatting xmlns:xm="http://schemas.microsoft.com/office/excel/2006/main">
          <x14:cfRule type="notContainsText" priority="39" operator="notContains" id="{F2974A69-38D4-457B-B535-768E249C1C9A}">
            <xm:f>ISERROR(SEARCH($E$14,D14))</xm:f>
            <xm:f>$E$14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notContainsText" priority="38" operator="notContains" id="{DFA82AFF-BE0B-47DC-9D2C-0DCC4C0D2DBE}">
            <xm:f>ISERROR(SEARCH($E$15,D15))</xm:f>
            <xm:f>$E$15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notContainsText" priority="37" operator="notContains" id="{2F2BF39E-B20C-4699-9B5A-C7872CE7FD95}">
            <xm:f>ISERROR(SEARCH($E$16,D16))</xm:f>
            <xm:f>$E$16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notContainsText" priority="36" operator="notContains" id="{060A2C98-78E0-41F2-90E9-79A8E0C0F6A9}">
            <xm:f>ISERROR(SEARCH($E$17,D17))</xm:f>
            <xm:f>$E$17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notContainsText" priority="35" operator="notContains" id="{9F30D616-625E-4A70-A866-3D44F3C32465}">
            <xm:f>ISERROR(SEARCH($E$18,D18))</xm:f>
            <xm:f>$E$18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notContainsText" priority="34" operator="notContains" id="{8B9A1877-DEF0-4DEC-9BA8-35B1EA6F3AC2}">
            <xm:f>ISERROR(SEARCH($E$19,D19))</xm:f>
            <xm:f>$E$19</xm:f>
            <x14:dxf>
              <fill>
                <patternFill>
                  <bgColor rgb="FFFF0000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notContainsText" priority="33" operator="notContains" id="{EBB9E8A1-3984-4665-AFD5-106BA4A71A7E}">
            <xm:f>ISERROR(SEARCH($E$20,D20))</xm:f>
            <xm:f>$E$20</xm:f>
            <x14:dxf>
              <fill>
                <patternFill>
                  <bgColor rgb="FFFF0000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notContainsText" priority="32" operator="notContains" id="{AF100759-4E16-4142-8C2D-B19F4A467208}">
            <xm:f>ISERROR(SEARCH($E$21,D21))</xm:f>
            <xm:f>$E$21</xm:f>
            <x14:dxf>
              <fill>
                <patternFill>
                  <bgColor rgb="FFFF0000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notContainsText" priority="31" operator="notContains" id="{AA784816-FE2F-4EEC-8CF0-1CF7E620A836}">
            <xm:f>ISERROR(SEARCH($E$31,D31))</xm:f>
            <xm:f>$E$31</xm:f>
            <x14:dxf>
              <fill>
                <patternFill>
                  <bgColor rgb="FFFF0000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notContainsText" priority="30" operator="notContains" id="{8F38C39F-0BDE-4FA5-85B7-7ACA7B08DAA1}">
            <xm:f>ISERROR(SEARCH($E$32,D32))</xm:f>
            <xm:f>$E$32</xm:f>
            <x14:dxf>
              <fill>
                <patternFill>
                  <bgColor rgb="FFFF0000"/>
                </patternFill>
              </fill>
            </x14:dxf>
          </x14:cfRule>
          <xm:sqref>D32</xm:sqref>
        </x14:conditionalFormatting>
        <x14:conditionalFormatting xmlns:xm="http://schemas.microsoft.com/office/excel/2006/main">
          <x14:cfRule type="notContainsText" priority="29" operator="notContains" id="{2859431D-D698-4929-9B17-668E73FA0269}">
            <xm:f>ISERROR(SEARCH($E$33,D33))</xm:f>
            <xm:f>$E$33</xm:f>
            <x14:dxf>
              <fill>
                <patternFill>
                  <bgColor rgb="FFFF0000"/>
                </patternFill>
              </fill>
            </x14:dxf>
          </x14:cfRule>
          <xm:sqref>D33</xm:sqref>
        </x14:conditionalFormatting>
        <x14:conditionalFormatting xmlns:xm="http://schemas.microsoft.com/office/excel/2006/main">
          <x14:cfRule type="notContainsText" priority="28" operator="notContains" id="{FB180628-47FA-4094-91E2-FA2DD3921543}">
            <xm:f>ISERROR(SEARCH($E$34,D34))</xm:f>
            <xm:f>$E$34</xm:f>
            <x14:dxf>
              <fill>
                <patternFill>
                  <bgColor rgb="FFFF0000"/>
                </patternFill>
              </fill>
            </x14:dxf>
          </x14:cfRule>
          <xm:sqref>D34</xm:sqref>
        </x14:conditionalFormatting>
        <x14:conditionalFormatting xmlns:xm="http://schemas.microsoft.com/office/excel/2006/main">
          <x14:cfRule type="notContainsText" priority="26" operator="notContains" id="{F31F22BC-9FDE-4D13-B6AA-E59E4A1AA898}">
            <xm:f>ISERROR(SEARCH($E$35,D35))</xm:f>
            <xm:f>$E$35</xm:f>
            <x14:dxf>
              <fill>
                <patternFill>
                  <bgColor rgb="FFFF0000"/>
                </patternFill>
              </fill>
            </x14:dxf>
          </x14:cfRule>
          <xm:sqref>D35</xm:sqref>
        </x14:conditionalFormatting>
        <x14:conditionalFormatting xmlns:xm="http://schemas.microsoft.com/office/excel/2006/main">
          <x14:cfRule type="notContainsText" priority="25" operator="notContains" id="{491188D7-0578-4EFD-83E9-8FFCF4C7B9CB}">
            <xm:f>ISERROR(SEARCH($E$36,D36))</xm:f>
            <xm:f>$E$36</xm:f>
            <x14:dxf>
              <fill>
                <patternFill>
                  <bgColor rgb="FFFF0000"/>
                </patternFill>
              </fill>
            </x14:dxf>
          </x14:cfRule>
          <xm:sqref>D36</xm:sqref>
        </x14:conditionalFormatting>
        <x14:conditionalFormatting xmlns:xm="http://schemas.microsoft.com/office/excel/2006/main">
          <x14:cfRule type="notContainsText" priority="24" operator="notContains" id="{8F7D64FE-89B6-4898-AE4E-373210907B5F}">
            <xm:f>ISERROR(SEARCH($E$37,D37))</xm:f>
            <xm:f>$E$37</xm:f>
            <x14:dxf>
              <fill>
                <patternFill>
                  <bgColor rgb="FFFF0000"/>
                </patternFill>
              </fill>
            </x14:dxf>
          </x14:cfRule>
          <xm:sqref>D37</xm:sqref>
        </x14:conditionalFormatting>
        <x14:conditionalFormatting xmlns:xm="http://schemas.microsoft.com/office/excel/2006/main">
          <x14:cfRule type="notContainsText" priority="23" operator="notContains" id="{37B1F153-8724-46C8-9754-8C45C7BC95FE}">
            <xm:f>ISERROR(SEARCH($E$46,D46))</xm:f>
            <xm:f>$E$46</xm:f>
            <x14:dxf>
              <fill>
                <patternFill>
                  <bgColor rgb="FFFF0000"/>
                </patternFill>
              </fill>
            </x14:dxf>
          </x14:cfRule>
          <xm:sqref>D46</xm:sqref>
        </x14:conditionalFormatting>
        <x14:conditionalFormatting xmlns:xm="http://schemas.microsoft.com/office/excel/2006/main">
          <x14:cfRule type="notContainsText" priority="22" operator="notContains" id="{A5460F08-83BF-4E17-8D3C-AE9B757B9AB4}">
            <xm:f>ISERROR(SEARCH(E48,D48))</xm:f>
            <xm:f>E48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D48</xm:sqref>
        </x14:conditionalFormatting>
        <x14:conditionalFormatting xmlns:xm="http://schemas.microsoft.com/office/excel/2006/main">
          <x14:cfRule type="notContainsText" priority="21" operator="notContains" id="{B7ECEEAD-200A-42FF-AF0A-2B82C9FDDF46}">
            <xm:f>ISERROR(SEARCH($E$47,D47))</xm:f>
            <xm:f>$E$47</xm:f>
            <x14:dxf>
              <fill>
                <patternFill>
                  <bgColor rgb="FFFF0000"/>
                </patternFill>
              </fill>
            </x14:dxf>
          </x14:cfRule>
          <xm:sqref>D47</xm:sqref>
        </x14:conditionalFormatting>
        <x14:conditionalFormatting xmlns:xm="http://schemas.microsoft.com/office/excel/2006/main">
          <x14:cfRule type="notContainsText" priority="20" operator="notContains" id="{EC6B20F4-E121-4F22-8479-783B0FC5322E}">
            <xm:f>ISERROR(SEARCH($E$49,D49))</xm:f>
            <xm:f>$E$49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D49</xm:sqref>
        </x14:conditionalFormatting>
        <x14:conditionalFormatting xmlns:xm="http://schemas.microsoft.com/office/excel/2006/main">
          <x14:cfRule type="notContainsText" priority="18" operator="notContains" id="{76033252-2193-40BE-9241-0E508A710EF5}">
            <xm:f>ISERROR(SEARCH($E$50,D50))</xm:f>
            <xm:f>$E$50</xm:f>
            <x14:dxf>
              <fill>
                <patternFill>
                  <bgColor rgb="FFFF0000"/>
                </patternFill>
              </fill>
            </x14:dxf>
          </x14:cfRule>
          <xm:sqref>D50</xm:sqref>
        </x14:conditionalFormatting>
        <x14:conditionalFormatting xmlns:xm="http://schemas.microsoft.com/office/excel/2006/main">
          <x14:cfRule type="notContainsText" priority="17" operator="notContains" id="{0BFF787B-2010-4D81-8620-F72A11D6D5B6}">
            <xm:f>ISERROR(SEARCH($E$51,D51))</xm:f>
            <xm:f>$E$51</xm:f>
            <x14:dxf>
              <fill>
                <patternFill>
                  <bgColor rgb="FFFF0000"/>
                </patternFill>
              </fill>
            </x14:dxf>
          </x14:cfRule>
          <xm:sqref>D51</xm:sqref>
        </x14:conditionalFormatting>
        <x14:conditionalFormatting xmlns:xm="http://schemas.microsoft.com/office/excel/2006/main">
          <x14:cfRule type="notContainsText" priority="16" operator="notContains" id="{CE554B0B-DD5E-4BC5-B29D-176CD1797560}">
            <xm:f>ISERROR(SEARCH($E$52,D52))</xm:f>
            <xm:f>$E$52</xm:f>
            <x14:dxf>
              <fill>
                <patternFill>
                  <bgColor rgb="FFFF0000"/>
                </patternFill>
              </fill>
            </x14:dxf>
          </x14:cfRule>
          <xm:sqref>D52</xm:sqref>
        </x14:conditionalFormatting>
        <x14:conditionalFormatting xmlns:xm="http://schemas.microsoft.com/office/excel/2006/main">
          <x14:cfRule type="notContainsText" priority="15" operator="notContains" id="{D732378B-89B1-4918-99C1-B58A32B8A8C7}">
            <xm:f>ISERROR(SEARCH($E$31,E31))</xm:f>
            <xm:f>$E$31</xm:f>
            <x14:dxf>
              <fill>
                <patternFill>
                  <bgColor rgb="FFFF0000"/>
                </patternFill>
              </fill>
            </x14:dxf>
          </x14:cfRule>
          <xm:sqref>E31</xm:sqref>
        </x14:conditionalFormatting>
        <x14:conditionalFormatting xmlns:xm="http://schemas.microsoft.com/office/excel/2006/main">
          <x14:cfRule type="notContainsText" priority="14" operator="notContains" id="{5099080B-B7F0-4135-868B-2C5DC7B34B88}">
            <xm:f>ISERROR(SEARCH($E$32,E32))</xm:f>
            <xm:f>$E$32</xm:f>
            <x14:dxf>
              <fill>
                <patternFill>
                  <bgColor rgb="FFFF0000"/>
                </patternFill>
              </fill>
            </x14:dxf>
          </x14:cfRule>
          <xm:sqref>E32</xm:sqref>
        </x14:conditionalFormatting>
        <x14:conditionalFormatting xmlns:xm="http://schemas.microsoft.com/office/excel/2006/main">
          <x14:cfRule type="notContainsText" priority="13" operator="notContains" id="{B3E963A2-D541-4652-A2F9-1A5A19A56D9A}">
            <xm:f>ISERROR(SEARCH($E$33,E33))</xm:f>
            <xm:f>$E$33</xm:f>
            <x14:dxf>
              <fill>
                <patternFill>
                  <bgColor rgb="FFFF0000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notContainsText" priority="12" operator="notContains" id="{2AF20E42-D2FB-44A4-9CFC-BB3EF4D9561C}">
            <xm:f>ISERROR(SEARCH($E$34,E34))</xm:f>
            <xm:f>$E$34</xm:f>
            <x14:dxf>
              <fill>
                <patternFill>
                  <bgColor rgb="FFFF0000"/>
                </patternFill>
              </fill>
            </x14:dxf>
          </x14:cfRule>
          <xm:sqref>E34</xm:sqref>
        </x14:conditionalFormatting>
        <x14:conditionalFormatting xmlns:xm="http://schemas.microsoft.com/office/excel/2006/main">
          <x14:cfRule type="notContainsText" priority="10" operator="notContains" id="{856B2163-97C1-4046-8423-65189F03E8E1}">
            <xm:f>ISERROR(SEARCH($E$35,E35))</xm:f>
            <xm:f>$E$35</xm:f>
            <x14:dxf>
              <fill>
                <patternFill>
                  <bgColor rgb="FFFF0000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notContainsText" priority="9" operator="notContains" id="{84D32D7E-8E52-472C-AF04-AAB2A94DFD2E}">
            <xm:f>ISERROR(SEARCH($E$36,E36))</xm:f>
            <xm:f>$E$36</xm:f>
            <x14:dxf>
              <fill>
                <patternFill>
                  <bgColor rgb="FFFF0000"/>
                </patternFill>
              </fill>
            </x14:dxf>
          </x14:cfRule>
          <xm:sqref>E36</xm:sqref>
        </x14:conditionalFormatting>
        <x14:conditionalFormatting xmlns:xm="http://schemas.microsoft.com/office/excel/2006/main">
          <x14:cfRule type="notContainsText" priority="8" operator="notContains" id="{F0A72065-F589-4584-BD8E-CA08DAD7A903}">
            <xm:f>ISERROR(SEARCH($E$37,E37))</xm:f>
            <xm:f>$E$37</xm:f>
            <x14:dxf>
              <fill>
                <patternFill>
                  <bgColor rgb="FFFF0000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notContainsText" priority="7" operator="notContains" id="{23C034F3-8E7C-4B42-8756-F6AE6A7C8DA2}">
            <xm:f>ISERROR(SEARCH($E$46,E46))</xm:f>
            <xm:f>$E$46</xm:f>
            <x14:dxf>
              <fill>
                <patternFill>
                  <bgColor rgb="FFFF0000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notContainsText" priority="6" operator="notContains" id="{0EC4D89B-E7A5-4A36-9E4A-3C72097086A6}">
            <xm:f>ISERROR(SEARCH($E$47,E47))</xm:f>
            <xm:f>$E$47</xm:f>
            <x14:dxf>
              <fill>
                <patternFill>
                  <bgColor rgb="FFFF0000"/>
                </patternFill>
              </fill>
            </x14:dxf>
          </x14:cfRule>
          <xm:sqref>E47</xm:sqref>
        </x14:conditionalFormatting>
        <x14:conditionalFormatting xmlns:xm="http://schemas.microsoft.com/office/excel/2006/main">
          <x14:cfRule type="notContainsText" priority="5" operator="notContains" id="{901FDC25-859F-4532-A71B-514ADCD4429C}">
            <xm:f>ISERROR(SEARCH($E$49,E49))</xm:f>
            <xm:f>$E$49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E49</xm:sqref>
        </x14:conditionalFormatting>
        <x14:conditionalFormatting xmlns:xm="http://schemas.microsoft.com/office/excel/2006/main">
          <x14:cfRule type="notContainsText" priority="3" operator="notContains" id="{2BC1BE63-B378-4991-BB4A-8173BCBBB951}">
            <xm:f>ISERROR(SEARCH($E$50,E50))</xm:f>
            <xm:f>$E$50</xm:f>
            <x14:dxf>
              <fill>
                <patternFill>
                  <bgColor rgb="FFFF0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notContainsText" priority="2" operator="notContains" id="{D7E924A7-1C51-4F0E-B808-BE456CB8871D}">
            <xm:f>ISERROR(SEARCH($E$51,E51))</xm:f>
            <xm:f>$E$51</xm:f>
            <x14:dxf>
              <fill>
                <patternFill>
                  <bgColor rgb="FFFF0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notContainsText" priority="1" operator="notContains" id="{2A6AD8A1-BB9E-4C8F-BB5B-3385C53AA632}">
            <xm:f>ISERROR(SEARCH($E$52,E52))</xm:f>
            <xm:f>$E$52</xm:f>
            <x14:dxf>
              <fill>
                <patternFill>
                  <bgColor rgb="FFFF0000"/>
                </patternFill>
              </fill>
            </x14:dxf>
          </x14:cfRule>
          <xm:sqref>E52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439"/>
  <sheetViews>
    <sheetView topLeftCell="U1" zoomScale="55" zoomScaleNormal="55" workbookViewId="0">
      <selection activeCell="AI21" sqref="AI21"/>
    </sheetView>
  </sheetViews>
  <sheetFormatPr defaultRowHeight="13.5"/>
  <cols>
    <col min="2" max="2" width="14.125" customWidth="1"/>
    <col min="3" max="3" width="12.125" customWidth="1"/>
    <col min="32" max="32" width="35" style="254" bestFit="1" customWidth="1"/>
    <col min="34" max="34" width="24.875" bestFit="1" customWidth="1"/>
    <col min="35" max="35" width="21.25" bestFit="1" customWidth="1"/>
    <col min="36" max="36" width="18.125" bestFit="1" customWidth="1"/>
    <col min="37" max="37" width="13.5" bestFit="1" customWidth="1"/>
    <col min="38" max="38" width="18.125" bestFit="1" customWidth="1"/>
    <col min="39" max="39" width="13.125" bestFit="1" customWidth="1"/>
    <col min="40" max="40" width="9.75" bestFit="1" customWidth="1"/>
    <col min="41" max="41" width="6.375" bestFit="1" customWidth="1"/>
    <col min="42" max="42" width="5.875" bestFit="1" customWidth="1"/>
    <col min="44" max="44" width="13.125" bestFit="1" customWidth="1"/>
    <col min="45" max="45" width="10.5" bestFit="1" customWidth="1"/>
  </cols>
  <sheetData>
    <row r="1" spans="2:45">
      <c r="S1" s="254"/>
      <c r="AF1"/>
    </row>
    <row r="4" spans="2:45" ht="14.25" thickBot="1"/>
    <row r="5" spans="2:45" ht="14.25" thickBot="1">
      <c r="H5" s="642" t="s">
        <v>436</v>
      </c>
      <c r="I5" s="640"/>
      <c r="J5" s="640"/>
      <c r="K5" s="640"/>
      <c r="L5" s="640"/>
      <c r="M5" s="640" t="s">
        <v>437</v>
      </c>
      <c r="N5" s="640"/>
      <c r="O5" s="640"/>
      <c r="P5" s="641"/>
      <c r="Q5" s="639" t="s">
        <v>419</v>
      </c>
      <c r="R5" s="640"/>
      <c r="S5" s="640"/>
      <c r="T5" s="640"/>
      <c r="U5" s="640"/>
      <c r="V5" s="640"/>
      <c r="W5" s="640"/>
      <c r="X5" s="640"/>
      <c r="Y5" s="640"/>
      <c r="Z5" s="640"/>
      <c r="AA5" s="641"/>
      <c r="AB5" s="649" t="s">
        <v>420</v>
      </c>
      <c r="AC5" s="564"/>
      <c r="AD5" s="564"/>
      <c r="AE5" s="650"/>
      <c r="AF5" s="374"/>
      <c r="AS5" s="116" t="s">
        <v>548</v>
      </c>
    </row>
    <row r="6" spans="2:45" ht="36.75" thickBot="1">
      <c r="B6" s="111" t="s">
        <v>13</v>
      </c>
      <c r="C6" s="112" t="s">
        <v>7</v>
      </c>
      <c r="D6" s="112" t="s">
        <v>10</v>
      </c>
      <c r="E6" s="113" t="s">
        <v>8</v>
      </c>
      <c r="F6" s="250"/>
      <c r="G6" s="250"/>
      <c r="H6" s="296" t="s">
        <v>415</v>
      </c>
      <c r="I6" s="297" t="s">
        <v>416</v>
      </c>
      <c r="J6" s="298" t="s">
        <v>428</v>
      </c>
      <c r="K6" s="55" t="s">
        <v>417</v>
      </c>
      <c r="L6" s="55" t="s">
        <v>418</v>
      </c>
      <c r="M6" s="298" t="s">
        <v>421</v>
      </c>
      <c r="N6" s="298" t="s">
        <v>422</v>
      </c>
      <c r="O6" s="298" t="s">
        <v>433</v>
      </c>
      <c r="P6" s="298" t="s">
        <v>423</v>
      </c>
      <c r="Q6" s="55" t="s">
        <v>502</v>
      </c>
      <c r="R6" s="298" t="s">
        <v>424</v>
      </c>
      <c r="S6" s="298" t="s">
        <v>425</v>
      </c>
      <c r="T6" s="298" t="s">
        <v>496</v>
      </c>
      <c r="U6" s="300" t="s">
        <v>498</v>
      </c>
      <c r="V6" s="55" t="s">
        <v>28</v>
      </c>
      <c r="W6" s="271" t="s">
        <v>479</v>
      </c>
      <c r="X6" s="271" t="s">
        <v>504</v>
      </c>
      <c r="Y6" s="271" t="s">
        <v>505</v>
      </c>
      <c r="Z6" s="271" t="s">
        <v>484</v>
      </c>
      <c r="AA6" s="271" t="s">
        <v>485</v>
      </c>
      <c r="AB6" s="55" t="s">
        <v>503</v>
      </c>
      <c r="AC6" s="298" t="s">
        <v>426</v>
      </c>
      <c r="AD6" s="298" t="s">
        <v>497</v>
      </c>
      <c r="AE6" s="272" t="s">
        <v>499</v>
      </c>
      <c r="AF6" s="299" t="s">
        <v>11</v>
      </c>
      <c r="AH6" s="643" t="s">
        <v>320</v>
      </c>
      <c r="AI6" s="646" t="s">
        <v>388</v>
      </c>
      <c r="AJ6" s="625" t="s">
        <v>389</v>
      </c>
      <c r="AK6" s="623" t="s">
        <v>321</v>
      </c>
      <c r="AL6" s="624"/>
      <c r="AM6" s="636" t="s">
        <v>375</v>
      </c>
      <c r="AN6" s="637"/>
      <c r="AO6" s="637"/>
      <c r="AP6" s="637"/>
      <c r="AQ6" s="637"/>
      <c r="AR6" s="637"/>
      <c r="AS6" s="638"/>
    </row>
    <row r="7" spans="2:45" ht="14.25" thickTop="1">
      <c r="B7" s="108" t="s">
        <v>124</v>
      </c>
      <c r="C7" s="109" t="s">
        <v>90</v>
      </c>
      <c r="D7" s="109" t="s">
        <v>85</v>
      </c>
      <c r="E7" s="110">
        <v>600</v>
      </c>
      <c r="F7" s="251"/>
      <c r="G7" s="251"/>
      <c r="H7" s="108" t="s">
        <v>311</v>
      </c>
      <c r="I7" s="293" t="s">
        <v>427</v>
      </c>
      <c r="J7" s="294">
        <v>1</v>
      </c>
      <c r="K7" s="293" t="s">
        <v>429</v>
      </c>
      <c r="L7" s="293" t="s">
        <v>430</v>
      </c>
      <c r="M7" s="293" t="s">
        <v>431</v>
      </c>
      <c r="N7" s="293" t="s">
        <v>434</v>
      </c>
      <c r="O7" s="293" t="s">
        <v>432</v>
      </c>
      <c r="P7" s="293">
        <v>20</v>
      </c>
      <c r="Q7" s="293" t="s">
        <v>435</v>
      </c>
      <c r="R7" s="293">
        <v>20</v>
      </c>
      <c r="S7" s="293">
        <v>1</v>
      </c>
      <c r="T7" s="293" t="s">
        <v>440</v>
      </c>
      <c r="U7" s="293">
        <v>1</v>
      </c>
      <c r="V7" s="293" t="s">
        <v>478</v>
      </c>
      <c r="W7" s="293" t="s">
        <v>488</v>
      </c>
      <c r="X7" s="293" t="s">
        <v>491</v>
      </c>
      <c r="Y7" s="293" t="s">
        <v>490</v>
      </c>
      <c r="Z7" s="293">
        <v>5</v>
      </c>
      <c r="AA7" s="293" t="s">
        <v>489</v>
      </c>
      <c r="AB7" s="293" t="s">
        <v>439</v>
      </c>
      <c r="AC7" s="293">
        <v>3</v>
      </c>
      <c r="AD7" s="293" t="s">
        <v>440</v>
      </c>
      <c r="AE7" s="301">
        <v>2</v>
      </c>
      <c r="AF7" s="295" t="s">
        <v>464</v>
      </c>
      <c r="AH7" s="644"/>
      <c r="AI7" s="647"/>
      <c r="AJ7" s="626"/>
      <c r="AK7" s="621" t="s">
        <v>373</v>
      </c>
      <c r="AL7" s="631" t="s">
        <v>374</v>
      </c>
      <c r="AM7" s="621" t="s">
        <v>561</v>
      </c>
      <c r="AN7" s="634" t="s">
        <v>384</v>
      </c>
      <c r="AO7" s="634" t="s">
        <v>383</v>
      </c>
      <c r="AP7" s="634" t="s">
        <v>385</v>
      </c>
      <c r="AQ7" s="634" t="s">
        <v>386</v>
      </c>
      <c r="AR7" s="634" t="s">
        <v>43</v>
      </c>
      <c r="AS7" s="628" t="s">
        <v>387</v>
      </c>
    </row>
    <row r="8" spans="2:45">
      <c r="B8" s="446" t="s">
        <v>125</v>
      </c>
      <c r="C8" s="447" t="s">
        <v>90</v>
      </c>
      <c r="D8" s="447" t="s">
        <v>85</v>
      </c>
      <c r="E8" s="448">
        <v>500</v>
      </c>
      <c r="F8" s="251"/>
      <c r="G8" s="251"/>
      <c r="H8" s="340" t="s">
        <v>138</v>
      </c>
      <c r="I8" s="341" t="s">
        <v>427</v>
      </c>
      <c r="J8" s="342">
        <v>1</v>
      </c>
      <c r="K8" s="341" t="s">
        <v>429</v>
      </c>
      <c r="L8" s="341" t="s">
        <v>430</v>
      </c>
      <c r="M8" s="341" t="s">
        <v>431</v>
      </c>
      <c r="N8" s="341" t="s">
        <v>434</v>
      </c>
      <c r="O8" s="341" t="s">
        <v>432</v>
      </c>
      <c r="P8" s="341">
        <v>20</v>
      </c>
      <c r="Q8" s="341" t="s">
        <v>435</v>
      </c>
      <c r="R8" s="341">
        <v>20</v>
      </c>
      <c r="S8" s="341">
        <v>1</v>
      </c>
      <c r="T8" s="341" t="s">
        <v>440</v>
      </c>
      <c r="U8" s="341">
        <v>1</v>
      </c>
      <c r="V8" s="341" t="s">
        <v>478</v>
      </c>
      <c r="W8" s="341" t="s">
        <v>488</v>
      </c>
      <c r="X8" s="293" t="s">
        <v>491</v>
      </c>
      <c r="Y8" s="293" t="s">
        <v>490</v>
      </c>
      <c r="Z8" s="293">
        <v>5</v>
      </c>
      <c r="AA8" s="293" t="s">
        <v>489</v>
      </c>
      <c r="AB8" s="341" t="s">
        <v>439</v>
      </c>
      <c r="AC8" s="341">
        <v>3</v>
      </c>
      <c r="AD8" s="341" t="s">
        <v>440</v>
      </c>
      <c r="AE8" s="301">
        <v>2</v>
      </c>
      <c r="AF8" s="343" t="s">
        <v>464</v>
      </c>
      <c r="AH8" s="644"/>
      <c r="AI8" s="647"/>
      <c r="AJ8" s="626"/>
      <c r="AK8" s="621"/>
      <c r="AL8" s="632"/>
      <c r="AM8" s="621"/>
      <c r="AN8" s="635"/>
      <c r="AO8" s="635"/>
      <c r="AP8" s="635"/>
      <c r="AQ8" s="635"/>
      <c r="AR8" s="635"/>
      <c r="AS8" s="629"/>
    </row>
    <row r="9" spans="2:45" ht="14.25" thickBot="1">
      <c r="B9" s="446" t="s">
        <v>312</v>
      </c>
      <c r="C9" s="447" t="s">
        <v>90</v>
      </c>
      <c r="D9" s="447" t="s">
        <v>85</v>
      </c>
      <c r="E9" s="448">
        <v>355</v>
      </c>
      <c r="F9" s="251"/>
      <c r="G9" s="251"/>
      <c r="H9" s="340" t="s">
        <v>86</v>
      </c>
      <c r="I9" s="341" t="s">
        <v>427</v>
      </c>
      <c r="J9" s="342">
        <v>1</v>
      </c>
      <c r="K9" s="341" t="s">
        <v>429</v>
      </c>
      <c r="L9" s="341" t="s">
        <v>430</v>
      </c>
      <c r="M9" s="341" t="s">
        <v>431</v>
      </c>
      <c r="N9" s="341" t="s">
        <v>434</v>
      </c>
      <c r="O9" s="341" t="s">
        <v>432</v>
      </c>
      <c r="P9" s="341">
        <v>20</v>
      </c>
      <c r="Q9" s="341" t="s">
        <v>435</v>
      </c>
      <c r="R9" s="341">
        <v>20</v>
      </c>
      <c r="S9" s="341">
        <v>1</v>
      </c>
      <c r="T9" s="341" t="s">
        <v>440</v>
      </c>
      <c r="U9" s="341">
        <v>1</v>
      </c>
      <c r="V9" s="341" t="s">
        <v>478</v>
      </c>
      <c r="W9" s="341" t="s">
        <v>488</v>
      </c>
      <c r="X9" s="293" t="s">
        <v>491</v>
      </c>
      <c r="Y9" s="293" t="s">
        <v>490</v>
      </c>
      <c r="Z9" s="293">
        <v>5</v>
      </c>
      <c r="AA9" s="293" t="s">
        <v>489</v>
      </c>
      <c r="AB9" s="341" t="s">
        <v>439</v>
      </c>
      <c r="AC9" s="341">
        <v>3</v>
      </c>
      <c r="AD9" s="341" t="s">
        <v>440</v>
      </c>
      <c r="AE9" s="301">
        <v>2</v>
      </c>
      <c r="AF9" s="343" t="s">
        <v>464</v>
      </c>
      <c r="AH9" s="645"/>
      <c r="AI9" s="648"/>
      <c r="AJ9" s="627"/>
      <c r="AK9" s="622"/>
      <c r="AL9" s="633"/>
      <c r="AM9" s="622"/>
      <c r="AN9" s="633"/>
      <c r="AO9" s="633"/>
      <c r="AP9" s="633"/>
      <c r="AQ9" s="633"/>
      <c r="AR9" s="633"/>
      <c r="AS9" s="630"/>
    </row>
    <row r="10" spans="2:45" ht="14.25" thickTop="1">
      <c r="B10" s="446" t="s">
        <v>126</v>
      </c>
      <c r="C10" s="447" t="s">
        <v>90</v>
      </c>
      <c r="D10" s="447" t="s">
        <v>85</v>
      </c>
      <c r="E10" s="448">
        <v>300</v>
      </c>
      <c r="F10" s="251"/>
      <c r="G10" s="251"/>
      <c r="H10" s="340" t="s">
        <v>87</v>
      </c>
      <c r="I10" s="341" t="s">
        <v>427</v>
      </c>
      <c r="J10" s="342">
        <v>1</v>
      </c>
      <c r="K10" s="341" t="s">
        <v>429</v>
      </c>
      <c r="L10" s="341" t="s">
        <v>430</v>
      </c>
      <c r="M10" s="341" t="s">
        <v>431</v>
      </c>
      <c r="N10" s="341" t="s">
        <v>434</v>
      </c>
      <c r="O10" s="341" t="s">
        <v>432</v>
      </c>
      <c r="P10" s="341">
        <v>20</v>
      </c>
      <c r="Q10" s="341" t="s">
        <v>435</v>
      </c>
      <c r="R10" s="341">
        <v>20</v>
      </c>
      <c r="S10" s="341">
        <v>1</v>
      </c>
      <c r="T10" s="341" t="s">
        <v>440</v>
      </c>
      <c r="U10" s="341">
        <v>1</v>
      </c>
      <c r="V10" s="341" t="s">
        <v>478</v>
      </c>
      <c r="W10" s="341" t="s">
        <v>488</v>
      </c>
      <c r="X10" s="293" t="s">
        <v>491</v>
      </c>
      <c r="Y10" s="293" t="s">
        <v>490</v>
      </c>
      <c r="Z10" s="293">
        <v>5</v>
      </c>
      <c r="AA10" s="293" t="s">
        <v>489</v>
      </c>
      <c r="AB10" s="341" t="s">
        <v>439</v>
      </c>
      <c r="AC10" s="341">
        <v>3</v>
      </c>
      <c r="AD10" s="341" t="s">
        <v>440</v>
      </c>
      <c r="AE10" s="301">
        <v>2</v>
      </c>
      <c r="AF10" s="343" t="s">
        <v>464</v>
      </c>
      <c r="AH10" s="235" t="s">
        <v>322</v>
      </c>
      <c r="AI10" s="460" t="s">
        <v>604</v>
      </c>
      <c r="AJ10" s="236" t="s">
        <v>323</v>
      </c>
      <c r="AK10" s="236"/>
      <c r="AL10" s="236"/>
      <c r="AM10" s="236"/>
      <c r="AN10" s="236"/>
      <c r="AO10" s="236"/>
      <c r="AP10" s="236"/>
      <c r="AQ10" s="236"/>
      <c r="AR10" s="236"/>
      <c r="AS10" s="241">
        <v>0.91583478340507363</v>
      </c>
    </row>
    <row r="11" spans="2:45">
      <c r="B11" s="446" t="s">
        <v>127</v>
      </c>
      <c r="C11" s="447" t="s">
        <v>90</v>
      </c>
      <c r="D11" s="447" t="s">
        <v>85</v>
      </c>
      <c r="E11" s="448">
        <v>250</v>
      </c>
      <c r="F11" s="251"/>
      <c r="G11" s="251"/>
      <c r="H11" s="340" t="s">
        <v>88</v>
      </c>
      <c r="I11" s="341" t="s">
        <v>427</v>
      </c>
      <c r="J11" s="342">
        <v>1</v>
      </c>
      <c r="K11" s="341" t="s">
        <v>429</v>
      </c>
      <c r="L11" s="341" t="s">
        <v>430</v>
      </c>
      <c r="M11" s="341" t="s">
        <v>431</v>
      </c>
      <c r="N11" s="341" t="s">
        <v>434</v>
      </c>
      <c r="O11" s="341" t="s">
        <v>432</v>
      </c>
      <c r="P11" s="341">
        <v>20</v>
      </c>
      <c r="Q11" s="341" t="s">
        <v>435</v>
      </c>
      <c r="R11" s="341">
        <v>20</v>
      </c>
      <c r="S11" s="341">
        <v>1</v>
      </c>
      <c r="T11" s="341" t="s">
        <v>441</v>
      </c>
      <c r="U11" s="341">
        <v>1</v>
      </c>
      <c r="V11" s="341" t="s">
        <v>478</v>
      </c>
      <c r="W11" s="341" t="s">
        <v>488</v>
      </c>
      <c r="X11" s="293" t="s">
        <v>491</v>
      </c>
      <c r="Y11" s="293" t="s">
        <v>490</v>
      </c>
      <c r="Z11" s="293">
        <v>5</v>
      </c>
      <c r="AA11" s="293" t="s">
        <v>489</v>
      </c>
      <c r="AB11" s="341" t="s">
        <v>439</v>
      </c>
      <c r="AC11" s="341">
        <v>3</v>
      </c>
      <c r="AD11" s="341" t="s">
        <v>440</v>
      </c>
      <c r="AE11" s="301">
        <v>2</v>
      </c>
      <c r="AF11" s="343" t="s">
        <v>464</v>
      </c>
      <c r="AH11" s="232" t="s">
        <v>324</v>
      </c>
      <c r="AI11" s="459" t="s">
        <v>605</v>
      </c>
      <c r="AJ11" s="231" t="s">
        <v>325</v>
      </c>
      <c r="AK11" s="231"/>
      <c r="AL11" s="231"/>
      <c r="AM11" s="437"/>
      <c r="AN11" s="231"/>
      <c r="AO11" s="231"/>
      <c r="AP11" s="231"/>
      <c r="AQ11" s="231"/>
      <c r="AR11" s="231"/>
      <c r="AS11" s="242">
        <v>0.95156532495955848</v>
      </c>
    </row>
    <row r="12" spans="2:45">
      <c r="B12" s="446" t="s">
        <v>128</v>
      </c>
      <c r="C12" s="447" t="s">
        <v>90</v>
      </c>
      <c r="D12" s="447" t="s">
        <v>85</v>
      </c>
      <c r="E12" s="448">
        <v>212</v>
      </c>
      <c r="F12" s="251"/>
      <c r="G12" s="251"/>
      <c r="H12" s="340" t="s">
        <v>139</v>
      </c>
      <c r="I12" s="341" t="s">
        <v>427</v>
      </c>
      <c r="J12" s="342">
        <v>1</v>
      </c>
      <c r="K12" s="341" t="s">
        <v>429</v>
      </c>
      <c r="L12" s="341" t="s">
        <v>430</v>
      </c>
      <c r="M12" s="341" t="s">
        <v>431</v>
      </c>
      <c r="N12" s="341" t="s">
        <v>434</v>
      </c>
      <c r="O12" s="341" t="s">
        <v>432</v>
      </c>
      <c r="P12" s="341">
        <v>20</v>
      </c>
      <c r="Q12" s="341" t="s">
        <v>435</v>
      </c>
      <c r="R12" s="341">
        <v>20</v>
      </c>
      <c r="S12" s="341">
        <v>1</v>
      </c>
      <c r="T12" s="341" t="s">
        <v>438</v>
      </c>
      <c r="U12" s="341">
        <v>1</v>
      </c>
      <c r="V12" s="341" t="s">
        <v>540</v>
      </c>
      <c r="W12" s="341" t="s">
        <v>541</v>
      </c>
      <c r="X12" s="341" t="s">
        <v>542</v>
      </c>
      <c r="Y12" s="341" t="s">
        <v>490</v>
      </c>
      <c r="Z12" s="293" t="s">
        <v>542</v>
      </c>
      <c r="AA12" s="293" t="s">
        <v>543</v>
      </c>
      <c r="AB12" s="341" t="s">
        <v>439</v>
      </c>
      <c r="AC12" s="341">
        <v>6</v>
      </c>
      <c r="AD12" s="341" t="s">
        <v>440</v>
      </c>
      <c r="AE12" s="301">
        <v>2</v>
      </c>
      <c r="AF12" s="343" t="s">
        <v>464</v>
      </c>
      <c r="AH12" s="232" t="s">
        <v>326</v>
      </c>
      <c r="AI12" s="459" t="s">
        <v>606</v>
      </c>
      <c r="AJ12" s="231" t="s">
        <v>327</v>
      </c>
      <c r="AK12" s="231"/>
      <c r="AL12" s="231"/>
      <c r="AM12" s="437"/>
      <c r="AN12" s="231"/>
      <c r="AO12" s="231"/>
      <c r="AP12" s="231"/>
      <c r="AQ12" s="231"/>
      <c r="AR12" s="231"/>
      <c r="AS12" s="242">
        <v>0.76875768757687579</v>
      </c>
    </row>
    <row r="13" spans="2:45">
      <c r="B13" s="446" t="s">
        <v>129</v>
      </c>
      <c r="C13" s="447" t="s">
        <v>90</v>
      </c>
      <c r="D13" s="447" t="s">
        <v>85</v>
      </c>
      <c r="E13" s="448">
        <v>180</v>
      </c>
      <c r="F13" s="251"/>
      <c r="G13" s="251"/>
      <c r="H13" s="340" t="s">
        <v>89</v>
      </c>
      <c r="I13" s="341" t="s">
        <v>427</v>
      </c>
      <c r="J13" s="342">
        <v>1</v>
      </c>
      <c r="K13" s="341" t="s">
        <v>429</v>
      </c>
      <c r="L13" s="341" t="s">
        <v>430</v>
      </c>
      <c r="M13" s="341" t="s">
        <v>431</v>
      </c>
      <c r="N13" s="341" t="s">
        <v>434</v>
      </c>
      <c r="O13" s="341" t="s">
        <v>432</v>
      </c>
      <c r="P13" s="341">
        <v>20</v>
      </c>
      <c r="Q13" s="341" t="s">
        <v>435</v>
      </c>
      <c r="R13" s="341">
        <v>20</v>
      </c>
      <c r="S13" s="341">
        <v>1</v>
      </c>
      <c r="T13" s="341" t="s">
        <v>438</v>
      </c>
      <c r="U13" s="341">
        <v>1</v>
      </c>
      <c r="V13" s="341" t="s">
        <v>540</v>
      </c>
      <c r="W13" s="341" t="s">
        <v>541</v>
      </c>
      <c r="X13" s="341" t="s">
        <v>542</v>
      </c>
      <c r="Y13" s="341" t="s">
        <v>490</v>
      </c>
      <c r="Z13" s="293" t="s">
        <v>542</v>
      </c>
      <c r="AA13" s="293" t="s">
        <v>543</v>
      </c>
      <c r="AB13" s="341" t="s">
        <v>439</v>
      </c>
      <c r="AC13" s="341">
        <v>6</v>
      </c>
      <c r="AD13" s="341" t="s">
        <v>440</v>
      </c>
      <c r="AE13" s="301">
        <v>2</v>
      </c>
      <c r="AF13" s="343" t="s">
        <v>464</v>
      </c>
      <c r="AH13" s="232" t="s">
        <v>328</v>
      </c>
      <c r="AI13" s="459" t="s">
        <v>607</v>
      </c>
      <c r="AJ13" s="231" t="s">
        <v>329</v>
      </c>
      <c r="AK13" s="231"/>
      <c r="AL13" s="231"/>
      <c r="AM13" s="437"/>
      <c r="AN13" s="231"/>
      <c r="AO13" s="231"/>
      <c r="AP13" s="231"/>
      <c r="AQ13" s="231"/>
      <c r="AR13" s="231"/>
      <c r="AS13" s="242">
        <v>1.2325896708985578</v>
      </c>
    </row>
    <row r="14" spans="2:45">
      <c r="B14" s="446" t="s">
        <v>130</v>
      </c>
      <c r="C14" s="447" t="s">
        <v>90</v>
      </c>
      <c r="D14" s="447" t="s">
        <v>85</v>
      </c>
      <c r="E14" s="448">
        <v>150</v>
      </c>
      <c r="F14" s="251"/>
      <c r="G14" s="251"/>
      <c r="H14" s="340" t="s">
        <v>140</v>
      </c>
      <c r="I14" s="341" t="s">
        <v>427</v>
      </c>
      <c r="J14" s="342">
        <v>1</v>
      </c>
      <c r="K14" s="341" t="s">
        <v>429</v>
      </c>
      <c r="L14" s="341" t="s">
        <v>430</v>
      </c>
      <c r="M14" s="341" t="s">
        <v>431</v>
      </c>
      <c r="N14" s="341" t="s">
        <v>434</v>
      </c>
      <c r="O14" s="341" t="s">
        <v>432</v>
      </c>
      <c r="P14" s="341">
        <v>20</v>
      </c>
      <c r="Q14" s="341" t="s">
        <v>435</v>
      </c>
      <c r="R14" s="341">
        <v>20</v>
      </c>
      <c r="S14" s="341">
        <v>1</v>
      </c>
      <c r="T14" s="341" t="s">
        <v>438</v>
      </c>
      <c r="U14" s="341">
        <v>1</v>
      </c>
      <c r="V14" s="341" t="s">
        <v>540</v>
      </c>
      <c r="W14" s="341" t="s">
        <v>541</v>
      </c>
      <c r="X14" s="341" t="s">
        <v>542</v>
      </c>
      <c r="Y14" s="341" t="s">
        <v>490</v>
      </c>
      <c r="Z14" s="293" t="s">
        <v>542</v>
      </c>
      <c r="AA14" s="293" t="s">
        <v>543</v>
      </c>
      <c r="AB14" s="341" t="s">
        <v>439</v>
      </c>
      <c r="AC14" s="341">
        <v>6</v>
      </c>
      <c r="AD14" s="341" t="s">
        <v>440</v>
      </c>
      <c r="AE14" s="301">
        <v>2</v>
      </c>
      <c r="AF14" s="343" t="s">
        <v>464</v>
      </c>
      <c r="AH14" s="232" t="s">
        <v>330</v>
      </c>
      <c r="AI14" s="459" t="s">
        <v>608</v>
      </c>
      <c r="AJ14" s="231" t="s">
        <v>331</v>
      </c>
      <c r="AK14" s="231"/>
      <c r="AL14" s="231"/>
      <c r="AM14" s="437"/>
      <c r="AN14" s="231"/>
      <c r="AO14" s="231"/>
      <c r="AP14" s="231"/>
      <c r="AQ14" s="231"/>
      <c r="AR14" s="231"/>
      <c r="AS14" s="242">
        <v>0.95702938080199063</v>
      </c>
    </row>
    <row r="15" spans="2:45">
      <c r="B15" s="446" t="s">
        <v>131</v>
      </c>
      <c r="C15" s="447" t="s">
        <v>90</v>
      </c>
      <c r="D15" s="447" t="s">
        <v>85</v>
      </c>
      <c r="E15" s="448">
        <v>125</v>
      </c>
      <c r="F15" s="251"/>
      <c r="G15" s="251"/>
      <c r="H15" s="340" t="s">
        <v>141</v>
      </c>
      <c r="I15" s="341" t="s">
        <v>427</v>
      </c>
      <c r="J15" s="342">
        <v>1</v>
      </c>
      <c r="K15" s="341" t="s">
        <v>429</v>
      </c>
      <c r="L15" s="341" t="s">
        <v>430</v>
      </c>
      <c r="M15" s="341" t="s">
        <v>431</v>
      </c>
      <c r="N15" s="341" t="s">
        <v>434</v>
      </c>
      <c r="O15" s="341" t="s">
        <v>432</v>
      </c>
      <c r="P15" s="341">
        <v>20</v>
      </c>
      <c r="Q15" s="341" t="s">
        <v>435</v>
      </c>
      <c r="R15" s="341">
        <v>20</v>
      </c>
      <c r="S15" s="341">
        <v>1</v>
      </c>
      <c r="T15" s="341" t="s">
        <v>438</v>
      </c>
      <c r="U15" s="341">
        <v>1</v>
      </c>
      <c r="V15" s="341" t="s">
        <v>540</v>
      </c>
      <c r="W15" s="341" t="s">
        <v>541</v>
      </c>
      <c r="X15" s="341" t="s">
        <v>542</v>
      </c>
      <c r="Y15" s="341" t="s">
        <v>490</v>
      </c>
      <c r="Z15" s="293" t="s">
        <v>542</v>
      </c>
      <c r="AA15" s="293" t="s">
        <v>543</v>
      </c>
      <c r="AB15" s="341" t="s">
        <v>439</v>
      </c>
      <c r="AC15" s="341">
        <v>6</v>
      </c>
      <c r="AD15" s="341" t="s">
        <v>440</v>
      </c>
      <c r="AE15" s="301">
        <v>2</v>
      </c>
      <c r="AF15" s="343" t="s">
        <v>464</v>
      </c>
      <c r="AH15" s="232" t="s">
        <v>332</v>
      </c>
      <c r="AI15" s="459" t="s">
        <v>609</v>
      </c>
      <c r="AJ15" s="231" t="s">
        <v>333</v>
      </c>
      <c r="AK15" s="231"/>
      <c r="AL15" s="231"/>
      <c r="AM15" s="437"/>
      <c r="AN15" s="231"/>
      <c r="AO15" s="231"/>
      <c r="AP15" s="231"/>
      <c r="AQ15" s="231"/>
      <c r="AR15" s="231"/>
      <c r="AS15" s="242">
        <v>0.97513408093612863</v>
      </c>
    </row>
    <row r="16" spans="2:45">
      <c r="B16" s="446" t="s">
        <v>132</v>
      </c>
      <c r="C16" s="447" t="s">
        <v>90</v>
      </c>
      <c r="D16" s="447" t="s">
        <v>85</v>
      </c>
      <c r="E16" s="448">
        <v>106</v>
      </c>
      <c r="F16" s="251"/>
      <c r="G16" s="251"/>
      <c r="H16" s="340" t="s">
        <v>142</v>
      </c>
      <c r="I16" s="341" t="s">
        <v>427</v>
      </c>
      <c r="J16" s="342">
        <v>1</v>
      </c>
      <c r="K16" s="341" t="s">
        <v>429</v>
      </c>
      <c r="L16" s="341" t="s">
        <v>430</v>
      </c>
      <c r="M16" s="341" t="s">
        <v>431</v>
      </c>
      <c r="N16" s="341" t="s">
        <v>434</v>
      </c>
      <c r="O16" s="341" t="s">
        <v>432</v>
      </c>
      <c r="P16" s="341">
        <v>20</v>
      </c>
      <c r="Q16" s="341" t="s">
        <v>435</v>
      </c>
      <c r="R16" s="341">
        <v>20</v>
      </c>
      <c r="S16" s="341">
        <v>1</v>
      </c>
      <c r="T16" s="341" t="s">
        <v>438</v>
      </c>
      <c r="U16" s="341">
        <v>1</v>
      </c>
      <c r="V16" s="341" t="s">
        <v>540</v>
      </c>
      <c r="W16" s="341" t="s">
        <v>541</v>
      </c>
      <c r="X16" s="341" t="s">
        <v>542</v>
      </c>
      <c r="Y16" s="341" t="s">
        <v>490</v>
      </c>
      <c r="Z16" s="293" t="s">
        <v>542</v>
      </c>
      <c r="AA16" s="293" t="s">
        <v>543</v>
      </c>
      <c r="AB16" s="341" t="s">
        <v>439</v>
      </c>
      <c r="AC16" s="341">
        <v>6</v>
      </c>
      <c r="AD16" s="341" t="s">
        <v>440</v>
      </c>
      <c r="AE16" s="301">
        <v>2</v>
      </c>
      <c r="AF16" s="343" t="s">
        <v>464</v>
      </c>
      <c r="AH16" s="232" t="s">
        <v>334</v>
      </c>
      <c r="AI16" s="459" t="s">
        <v>335</v>
      </c>
      <c r="AJ16" s="231" t="s">
        <v>537</v>
      </c>
      <c r="AK16" s="231" t="s">
        <v>552</v>
      </c>
      <c r="AL16" s="231"/>
      <c r="AM16" s="437" t="s">
        <v>562</v>
      </c>
      <c r="AN16" s="231" t="s">
        <v>551</v>
      </c>
      <c r="AO16" s="231" t="s">
        <v>381</v>
      </c>
      <c r="AP16" s="231"/>
      <c r="AQ16" s="231" t="s">
        <v>377</v>
      </c>
      <c r="AR16" s="231" t="s">
        <v>380</v>
      </c>
      <c r="AS16" s="242">
        <v>0.98173964264677016</v>
      </c>
    </row>
    <row r="17" spans="2:45">
      <c r="B17" s="446" t="s">
        <v>133</v>
      </c>
      <c r="C17" s="447" t="s">
        <v>90</v>
      </c>
      <c r="D17" s="447" t="s">
        <v>85</v>
      </c>
      <c r="E17" s="448">
        <v>75</v>
      </c>
      <c r="F17" s="251"/>
      <c r="G17" s="251"/>
      <c r="H17" s="340" t="s">
        <v>143</v>
      </c>
      <c r="I17" s="341" t="s">
        <v>427</v>
      </c>
      <c r="J17" s="342">
        <v>1</v>
      </c>
      <c r="K17" s="341" t="s">
        <v>429</v>
      </c>
      <c r="L17" s="341" t="s">
        <v>430</v>
      </c>
      <c r="M17" s="341" t="s">
        <v>431</v>
      </c>
      <c r="N17" s="341" t="s">
        <v>434</v>
      </c>
      <c r="O17" s="341" t="s">
        <v>432</v>
      </c>
      <c r="P17" s="341">
        <v>20</v>
      </c>
      <c r="Q17" s="341" t="s">
        <v>435</v>
      </c>
      <c r="R17" s="341">
        <v>20</v>
      </c>
      <c r="S17" s="341">
        <v>1</v>
      </c>
      <c r="T17" s="341" t="s">
        <v>438</v>
      </c>
      <c r="U17" s="341">
        <v>1</v>
      </c>
      <c r="V17" s="341" t="s">
        <v>540</v>
      </c>
      <c r="W17" s="341" t="s">
        <v>541</v>
      </c>
      <c r="X17" s="341" t="s">
        <v>542</v>
      </c>
      <c r="Y17" s="341" t="s">
        <v>490</v>
      </c>
      <c r="Z17" s="293" t="s">
        <v>542</v>
      </c>
      <c r="AA17" s="293" t="s">
        <v>543</v>
      </c>
      <c r="AB17" s="341" t="s">
        <v>439</v>
      </c>
      <c r="AC17" s="341">
        <v>6</v>
      </c>
      <c r="AD17" s="341" t="s">
        <v>440</v>
      </c>
      <c r="AE17" s="301">
        <v>2</v>
      </c>
      <c r="AF17" s="343" t="s">
        <v>464</v>
      </c>
      <c r="AH17" s="232" t="s">
        <v>536</v>
      </c>
      <c r="AI17" s="459" t="s">
        <v>335</v>
      </c>
      <c r="AJ17" s="231" t="s">
        <v>538</v>
      </c>
      <c r="AK17" s="231" t="s">
        <v>552</v>
      </c>
      <c r="AL17" s="231"/>
      <c r="AM17" s="437" t="s">
        <v>562</v>
      </c>
      <c r="AN17" s="231" t="s">
        <v>551</v>
      </c>
      <c r="AO17" s="231" t="s">
        <v>381</v>
      </c>
      <c r="AP17" s="231"/>
      <c r="AQ17" s="231" t="s">
        <v>376</v>
      </c>
      <c r="AR17" s="231" t="s">
        <v>380</v>
      </c>
      <c r="AS17" s="242">
        <v>0.95383441434566962</v>
      </c>
    </row>
    <row r="18" spans="2:45">
      <c r="B18" s="446" t="s">
        <v>134</v>
      </c>
      <c r="C18" s="447" t="s">
        <v>90</v>
      </c>
      <c r="D18" s="447" t="s">
        <v>85</v>
      </c>
      <c r="E18" s="448">
        <v>63</v>
      </c>
      <c r="F18" s="251"/>
      <c r="G18" s="251"/>
      <c r="H18" s="340" t="s">
        <v>144</v>
      </c>
      <c r="I18" s="341" t="s">
        <v>427</v>
      </c>
      <c r="J18" s="342">
        <v>1</v>
      </c>
      <c r="K18" s="341" t="s">
        <v>429</v>
      </c>
      <c r="L18" s="341" t="s">
        <v>430</v>
      </c>
      <c r="M18" s="341" t="s">
        <v>431</v>
      </c>
      <c r="N18" s="341" t="s">
        <v>434</v>
      </c>
      <c r="O18" s="341" t="s">
        <v>432</v>
      </c>
      <c r="P18" s="341">
        <v>20</v>
      </c>
      <c r="Q18" s="341" t="s">
        <v>435</v>
      </c>
      <c r="R18" s="341">
        <v>20</v>
      </c>
      <c r="S18" s="341">
        <v>1</v>
      </c>
      <c r="T18" s="341" t="s">
        <v>438</v>
      </c>
      <c r="U18" s="341">
        <v>1</v>
      </c>
      <c r="V18" s="341" t="s">
        <v>540</v>
      </c>
      <c r="W18" s="341" t="s">
        <v>541</v>
      </c>
      <c r="X18" s="341" t="s">
        <v>542</v>
      </c>
      <c r="Y18" s="341" t="s">
        <v>490</v>
      </c>
      <c r="Z18" s="293" t="s">
        <v>542</v>
      </c>
      <c r="AA18" s="293" t="s">
        <v>543</v>
      </c>
      <c r="AB18" s="341" t="s">
        <v>439</v>
      </c>
      <c r="AC18" s="341">
        <v>6</v>
      </c>
      <c r="AD18" s="341" t="s">
        <v>440</v>
      </c>
      <c r="AE18" s="301">
        <v>2</v>
      </c>
      <c r="AF18" s="343" t="s">
        <v>464</v>
      </c>
      <c r="AH18" s="232" t="s">
        <v>536</v>
      </c>
      <c r="AI18" s="459" t="s">
        <v>335</v>
      </c>
      <c r="AJ18" s="231" t="s">
        <v>539</v>
      </c>
      <c r="AK18" s="231" t="s">
        <v>552</v>
      </c>
      <c r="AL18" s="231"/>
      <c r="AM18" s="437" t="s">
        <v>562</v>
      </c>
      <c r="AN18" s="231" t="s">
        <v>551</v>
      </c>
      <c r="AO18" s="231" t="s">
        <v>381</v>
      </c>
      <c r="AP18" s="231"/>
      <c r="AQ18" s="231" t="s">
        <v>376</v>
      </c>
      <c r="AR18" s="231" t="s">
        <v>380</v>
      </c>
      <c r="AS18" s="242">
        <v>0.95547487101089246</v>
      </c>
    </row>
    <row r="19" spans="2:45">
      <c r="B19" s="446" t="s">
        <v>135</v>
      </c>
      <c r="C19" s="447" t="s">
        <v>90</v>
      </c>
      <c r="D19" s="447" t="s">
        <v>85</v>
      </c>
      <c r="E19" s="448">
        <v>53</v>
      </c>
      <c r="F19" s="251"/>
      <c r="G19" s="251"/>
      <c r="H19" s="340" t="s">
        <v>145</v>
      </c>
      <c r="I19" s="341" t="s">
        <v>427</v>
      </c>
      <c r="J19" s="342">
        <v>1</v>
      </c>
      <c r="K19" s="341" t="s">
        <v>429</v>
      </c>
      <c r="L19" s="341" t="s">
        <v>430</v>
      </c>
      <c r="M19" s="341" t="s">
        <v>431</v>
      </c>
      <c r="N19" s="341" t="s">
        <v>434</v>
      </c>
      <c r="O19" s="341" t="s">
        <v>432</v>
      </c>
      <c r="P19" s="341">
        <v>20</v>
      </c>
      <c r="Q19" s="341" t="s">
        <v>435</v>
      </c>
      <c r="R19" s="341">
        <v>20</v>
      </c>
      <c r="S19" s="341">
        <v>1</v>
      </c>
      <c r="T19" s="341" t="s">
        <v>438</v>
      </c>
      <c r="U19" s="341">
        <v>1</v>
      </c>
      <c r="V19" s="341" t="s">
        <v>540</v>
      </c>
      <c r="W19" s="341" t="s">
        <v>541</v>
      </c>
      <c r="X19" s="341" t="s">
        <v>542</v>
      </c>
      <c r="Y19" s="341" t="s">
        <v>490</v>
      </c>
      <c r="Z19" s="293" t="s">
        <v>542</v>
      </c>
      <c r="AA19" s="293" t="s">
        <v>543</v>
      </c>
      <c r="AB19" s="341" t="s">
        <v>439</v>
      </c>
      <c r="AC19" s="341">
        <v>6</v>
      </c>
      <c r="AD19" s="341" t="s">
        <v>440</v>
      </c>
      <c r="AE19" s="301">
        <v>2</v>
      </c>
      <c r="AF19" s="343" t="s">
        <v>464</v>
      </c>
      <c r="AH19" s="232"/>
      <c r="AI19" s="447"/>
      <c r="AJ19" s="231"/>
      <c r="AK19" s="231"/>
      <c r="AL19" s="231"/>
      <c r="AM19" s="437"/>
      <c r="AN19" s="231"/>
      <c r="AO19" s="231"/>
      <c r="AP19" s="231"/>
      <c r="AQ19" s="231"/>
      <c r="AR19" s="231"/>
      <c r="AS19" s="242"/>
    </row>
    <row r="20" spans="2:45">
      <c r="B20" s="446" t="s">
        <v>136</v>
      </c>
      <c r="C20" s="447" t="s">
        <v>90</v>
      </c>
      <c r="D20" s="447" t="s">
        <v>85</v>
      </c>
      <c r="E20" s="448">
        <v>57</v>
      </c>
      <c r="F20" s="251"/>
      <c r="G20" s="251"/>
      <c r="H20" s="340" t="s">
        <v>310</v>
      </c>
      <c r="I20" s="341" t="s">
        <v>427</v>
      </c>
      <c r="J20" s="342">
        <v>1</v>
      </c>
      <c r="K20" s="341" t="s">
        <v>429</v>
      </c>
      <c r="L20" s="341" t="s">
        <v>430</v>
      </c>
      <c r="M20" s="341" t="s">
        <v>431</v>
      </c>
      <c r="N20" s="341" t="s">
        <v>434</v>
      </c>
      <c r="O20" s="341" t="s">
        <v>432</v>
      </c>
      <c r="P20" s="341">
        <v>20</v>
      </c>
      <c r="Q20" s="341" t="s">
        <v>435</v>
      </c>
      <c r="R20" s="341">
        <v>20</v>
      </c>
      <c r="S20" s="341">
        <v>1</v>
      </c>
      <c r="T20" s="341" t="s">
        <v>438</v>
      </c>
      <c r="U20" s="341">
        <v>1</v>
      </c>
      <c r="V20" s="341" t="s">
        <v>540</v>
      </c>
      <c r="W20" s="341" t="s">
        <v>541</v>
      </c>
      <c r="X20" s="341" t="s">
        <v>542</v>
      </c>
      <c r="Y20" s="341" t="s">
        <v>490</v>
      </c>
      <c r="Z20" s="293" t="s">
        <v>542</v>
      </c>
      <c r="AA20" s="293" t="s">
        <v>543</v>
      </c>
      <c r="AB20" s="341" t="s">
        <v>439</v>
      </c>
      <c r="AC20" s="341">
        <v>6</v>
      </c>
      <c r="AD20" s="341" t="s">
        <v>440</v>
      </c>
      <c r="AE20" s="301">
        <v>2</v>
      </c>
      <c r="AF20" s="343" t="s">
        <v>464</v>
      </c>
      <c r="AH20" s="232" t="s">
        <v>336</v>
      </c>
      <c r="AI20" s="459" t="s">
        <v>610</v>
      </c>
      <c r="AJ20" s="106" t="s">
        <v>337</v>
      </c>
      <c r="AK20" s="231" t="s">
        <v>552</v>
      </c>
      <c r="AL20" s="231"/>
      <c r="AM20" s="437" t="s">
        <v>562</v>
      </c>
      <c r="AN20" s="231" t="s">
        <v>551</v>
      </c>
      <c r="AO20" s="231" t="s">
        <v>381</v>
      </c>
      <c r="AP20" s="231"/>
      <c r="AQ20" s="231" t="s">
        <v>378</v>
      </c>
      <c r="AR20" s="231" t="s">
        <v>380</v>
      </c>
      <c r="AS20" s="242">
        <v>1.0354110581901015</v>
      </c>
    </row>
    <row r="21" spans="2:45">
      <c r="B21" s="446" t="s">
        <v>137</v>
      </c>
      <c r="C21" s="447" t="s">
        <v>90</v>
      </c>
      <c r="D21" s="447" t="s">
        <v>85</v>
      </c>
      <c r="E21" s="448">
        <v>48</v>
      </c>
      <c r="F21" s="251"/>
      <c r="G21" s="251"/>
      <c r="H21" s="340" t="s">
        <v>309</v>
      </c>
      <c r="I21" s="341" t="s">
        <v>427</v>
      </c>
      <c r="J21" s="342">
        <v>1</v>
      </c>
      <c r="K21" s="341" t="s">
        <v>429</v>
      </c>
      <c r="L21" s="341" t="s">
        <v>430</v>
      </c>
      <c r="M21" s="341" t="s">
        <v>431</v>
      </c>
      <c r="N21" s="341" t="s">
        <v>434</v>
      </c>
      <c r="O21" s="341" t="s">
        <v>432</v>
      </c>
      <c r="P21" s="341">
        <v>20</v>
      </c>
      <c r="Q21" s="341" t="s">
        <v>435</v>
      </c>
      <c r="R21" s="341">
        <v>20</v>
      </c>
      <c r="S21" s="341">
        <v>1</v>
      </c>
      <c r="T21" s="341" t="s">
        <v>438</v>
      </c>
      <c r="U21" s="341">
        <v>1</v>
      </c>
      <c r="V21" s="341" t="s">
        <v>540</v>
      </c>
      <c r="W21" s="341" t="s">
        <v>541</v>
      </c>
      <c r="X21" s="341" t="s">
        <v>542</v>
      </c>
      <c r="Y21" s="341" t="s">
        <v>490</v>
      </c>
      <c r="Z21" s="293" t="s">
        <v>542</v>
      </c>
      <c r="AA21" s="293" t="s">
        <v>543</v>
      </c>
      <c r="AB21" s="341" t="s">
        <v>439</v>
      </c>
      <c r="AC21" s="341">
        <v>6</v>
      </c>
      <c r="AD21" s="341" t="s">
        <v>440</v>
      </c>
      <c r="AE21" s="301">
        <v>2</v>
      </c>
      <c r="AF21" s="343" t="s">
        <v>464</v>
      </c>
      <c r="AH21" s="232" t="s">
        <v>338</v>
      </c>
      <c r="AI21" s="447" t="s">
        <v>339</v>
      </c>
      <c r="AJ21" s="231" t="s">
        <v>339</v>
      </c>
      <c r="AK21" s="231" t="s">
        <v>553</v>
      </c>
      <c r="AL21" s="231"/>
      <c r="AM21" s="437" t="s">
        <v>562</v>
      </c>
      <c r="AN21" s="231" t="s">
        <v>564</v>
      </c>
      <c r="AO21" s="231" t="s">
        <v>381</v>
      </c>
      <c r="AP21" s="231"/>
      <c r="AQ21" s="231" t="s">
        <v>377</v>
      </c>
      <c r="AR21" s="231" t="s">
        <v>380</v>
      </c>
      <c r="AS21" s="242">
        <v>0.95292548122736787</v>
      </c>
    </row>
    <row r="22" spans="2:45">
      <c r="B22" s="446" t="s">
        <v>311</v>
      </c>
      <c r="C22" s="447" t="s">
        <v>90</v>
      </c>
      <c r="D22" s="447" t="s">
        <v>85</v>
      </c>
      <c r="E22" s="448">
        <v>40</v>
      </c>
      <c r="F22" s="251"/>
      <c r="G22" s="251"/>
      <c r="H22" s="340" t="s">
        <v>308</v>
      </c>
      <c r="I22" s="341" t="s">
        <v>427</v>
      </c>
      <c r="J22" s="342">
        <v>1</v>
      </c>
      <c r="K22" s="341" t="s">
        <v>429</v>
      </c>
      <c r="L22" s="341" t="s">
        <v>430</v>
      </c>
      <c r="M22" s="341" t="s">
        <v>431</v>
      </c>
      <c r="N22" s="341" t="s">
        <v>434</v>
      </c>
      <c r="O22" s="341" t="s">
        <v>432</v>
      </c>
      <c r="P22" s="341">
        <v>20</v>
      </c>
      <c r="Q22" s="341" t="s">
        <v>435</v>
      </c>
      <c r="R22" s="341">
        <v>20</v>
      </c>
      <c r="S22" s="341">
        <v>1</v>
      </c>
      <c r="T22" s="341" t="s">
        <v>438</v>
      </c>
      <c r="U22" s="341">
        <v>1</v>
      </c>
      <c r="V22" s="341" t="s">
        <v>540</v>
      </c>
      <c r="W22" s="341" t="s">
        <v>541</v>
      </c>
      <c r="X22" s="341" t="s">
        <v>542</v>
      </c>
      <c r="Y22" s="341" t="s">
        <v>490</v>
      </c>
      <c r="Z22" s="293" t="s">
        <v>542</v>
      </c>
      <c r="AA22" s="293" t="s">
        <v>543</v>
      </c>
      <c r="AB22" s="341" t="s">
        <v>439</v>
      </c>
      <c r="AC22" s="341">
        <v>6</v>
      </c>
      <c r="AD22" s="341" t="s">
        <v>440</v>
      </c>
      <c r="AE22" s="301">
        <v>2</v>
      </c>
      <c r="AF22" s="343" t="s">
        <v>464</v>
      </c>
      <c r="AH22" s="232" t="s">
        <v>340</v>
      </c>
      <c r="AI22" s="459" t="s">
        <v>616</v>
      </c>
      <c r="AJ22" s="231" t="s">
        <v>341</v>
      </c>
      <c r="AK22" s="106" t="s">
        <v>554</v>
      </c>
      <c r="AL22" s="231"/>
      <c r="AM22" s="437"/>
      <c r="AN22" s="231"/>
      <c r="AO22" s="231"/>
      <c r="AP22" s="231"/>
      <c r="AQ22" s="231"/>
      <c r="AR22" s="231"/>
      <c r="AS22" s="242">
        <v>1</v>
      </c>
    </row>
    <row r="23" spans="2:45">
      <c r="B23" s="446" t="s">
        <v>138</v>
      </c>
      <c r="C23" s="447" t="s">
        <v>90</v>
      </c>
      <c r="D23" s="447" t="s">
        <v>85</v>
      </c>
      <c r="E23" s="448">
        <v>35</v>
      </c>
      <c r="F23" s="251"/>
      <c r="G23" s="251"/>
      <c r="H23" s="340" t="s">
        <v>146</v>
      </c>
      <c r="I23" s="341" t="s">
        <v>427</v>
      </c>
      <c r="J23" s="342">
        <v>1</v>
      </c>
      <c r="K23" s="341" t="s">
        <v>429</v>
      </c>
      <c r="L23" s="341" t="s">
        <v>430</v>
      </c>
      <c r="M23" s="341" t="s">
        <v>431</v>
      </c>
      <c r="N23" s="341" t="s">
        <v>434</v>
      </c>
      <c r="O23" s="341" t="s">
        <v>432</v>
      </c>
      <c r="P23" s="341">
        <v>20</v>
      </c>
      <c r="Q23" s="341" t="s">
        <v>435</v>
      </c>
      <c r="R23" s="341">
        <v>20</v>
      </c>
      <c r="S23" s="341">
        <v>1</v>
      </c>
      <c r="T23" s="341" t="s">
        <v>438</v>
      </c>
      <c r="U23" s="341">
        <v>1</v>
      </c>
      <c r="V23" s="341" t="s">
        <v>540</v>
      </c>
      <c r="W23" s="341" t="s">
        <v>541</v>
      </c>
      <c r="X23" s="341" t="s">
        <v>542</v>
      </c>
      <c r="Y23" s="341" t="s">
        <v>490</v>
      </c>
      <c r="Z23" s="293" t="s">
        <v>542</v>
      </c>
      <c r="AA23" s="293" t="s">
        <v>543</v>
      </c>
      <c r="AB23" s="341" t="s">
        <v>439</v>
      </c>
      <c r="AC23" s="341">
        <v>6</v>
      </c>
      <c r="AD23" s="341" t="s">
        <v>440</v>
      </c>
      <c r="AE23" s="301">
        <v>2</v>
      </c>
      <c r="AF23" s="343" t="s">
        <v>464</v>
      </c>
      <c r="AH23" s="232" t="s">
        <v>342</v>
      </c>
      <c r="AI23" s="459" t="s">
        <v>616</v>
      </c>
      <c r="AJ23" s="231" t="s">
        <v>343</v>
      </c>
      <c r="AK23" s="106" t="s">
        <v>554</v>
      </c>
      <c r="AL23" s="231"/>
      <c r="AM23" s="437"/>
      <c r="AN23" s="231"/>
      <c r="AO23" s="231"/>
      <c r="AP23" s="231"/>
      <c r="AQ23" s="231"/>
      <c r="AR23" s="231"/>
      <c r="AS23" s="242">
        <v>1</v>
      </c>
    </row>
    <row r="24" spans="2:45">
      <c r="B24" s="446" t="s">
        <v>86</v>
      </c>
      <c r="C24" s="447" t="s">
        <v>90</v>
      </c>
      <c r="D24" s="447" t="s">
        <v>85</v>
      </c>
      <c r="E24" s="448">
        <v>30</v>
      </c>
      <c r="F24" s="251"/>
      <c r="G24" s="251"/>
      <c r="H24" s="340" t="s">
        <v>91</v>
      </c>
      <c r="I24" s="341" t="s">
        <v>427</v>
      </c>
      <c r="J24" s="342">
        <v>1</v>
      </c>
      <c r="K24" s="341" t="s">
        <v>429</v>
      </c>
      <c r="L24" s="341" t="s">
        <v>430</v>
      </c>
      <c r="M24" s="341" t="s">
        <v>431</v>
      </c>
      <c r="N24" s="341" t="s">
        <v>434</v>
      </c>
      <c r="O24" s="341" t="s">
        <v>432</v>
      </c>
      <c r="P24" s="341">
        <v>20</v>
      </c>
      <c r="Q24" s="341" t="s">
        <v>435</v>
      </c>
      <c r="R24" s="341">
        <v>20</v>
      </c>
      <c r="S24" s="341">
        <v>1</v>
      </c>
      <c r="T24" s="341" t="s">
        <v>441</v>
      </c>
      <c r="U24" s="341">
        <v>1</v>
      </c>
      <c r="V24" s="341" t="s">
        <v>478</v>
      </c>
      <c r="W24" s="341" t="s">
        <v>488</v>
      </c>
      <c r="X24" s="293" t="s">
        <v>491</v>
      </c>
      <c r="Y24" s="293" t="s">
        <v>490</v>
      </c>
      <c r="Z24" s="293">
        <v>5</v>
      </c>
      <c r="AA24" s="293" t="s">
        <v>489</v>
      </c>
      <c r="AB24" s="341" t="s">
        <v>439</v>
      </c>
      <c r="AC24" s="341">
        <v>3</v>
      </c>
      <c r="AD24" s="341" t="s">
        <v>440</v>
      </c>
      <c r="AE24" s="301">
        <v>2</v>
      </c>
      <c r="AF24" s="343" t="s">
        <v>464</v>
      </c>
      <c r="AH24" s="232" t="s">
        <v>344</v>
      </c>
      <c r="AI24" s="459" t="s">
        <v>345</v>
      </c>
      <c r="AJ24" s="231" t="s">
        <v>345</v>
      </c>
      <c r="AK24" s="106" t="s">
        <v>554</v>
      </c>
      <c r="AL24" s="231"/>
      <c r="AM24" s="437"/>
      <c r="AN24" s="231"/>
      <c r="AO24" s="231"/>
      <c r="AP24" s="231"/>
      <c r="AQ24" s="231"/>
      <c r="AR24" s="231"/>
      <c r="AS24" s="242">
        <v>0.94073377234242717</v>
      </c>
    </row>
    <row r="25" spans="2:45">
      <c r="B25" s="446" t="s">
        <v>87</v>
      </c>
      <c r="C25" s="447" t="s">
        <v>90</v>
      </c>
      <c r="D25" s="447" t="s">
        <v>85</v>
      </c>
      <c r="E25" s="448">
        <v>25</v>
      </c>
      <c r="F25" s="251"/>
      <c r="G25" s="251"/>
      <c r="H25" s="340" t="s">
        <v>306</v>
      </c>
      <c r="I25" s="341" t="s">
        <v>427</v>
      </c>
      <c r="J25" s="342">
        <v>1</v>
      </c>
      <c r="K25" s="341" t="s">
        <v>429</v>
      </c>
      <c r="L25" s="341" t="s">
        <v>430</v>
      </c>
      <c r="M25" s="341" t="s">
        <v>431</v>
      </c>
      <c r="N25" s="341" t="s">
        <v>434</v>
      </c>
      <c r="O25" s="341" t="s">
        <v>432</v>
      </c>
      <c r="P25" s="341">
        <v>20</v>
      </c>
      <c r="Q25" s="341" t="s">
        <v>435</v>
      </c>
      <c r="R25" s="341">
        <v>20</v>
      </c>
      <c r="S25" s="341">
        <v>1</v>
      </c>
      <c r="T25" s="341" t="s">
        <v>441</v>
      </c>
      <c r="U25" s="341">
        <v>1</v>
      </c>
      <c r="V25" s="341" t="s">
        <v>478</v>
      </c>
      <c r="W25" s="341" t="s">
        <v>488</v>
      </c>
      <c r="X25" s="293" t="s">
        <v>491</v>
      </c>
      <c r="Y25" s="293" t="s">
        <v>490</v>
      </c>
      <c r="Z25" s="293">
        <v>5</v>
      </c>
      <c r="AA25" s="293" t="s">
        <v>489</v>
      </c>
      <c r="AB25" s="341" t="s">
        <v>439</v>
      </c>
      <c r="AC25" s="341">
        <v>3</v>
      </c>
      <c r="AD25" s="341" t="s">
        <v>440</v>
      </c>
      <c r="AE25" s="301">
        <v>2</v>
      </c>
      <c r="AF25" s="343" t="s">
        <v>464</v>
      </c>
      <c r="AH25" s="232" t="s">
        <v>346</v>
      </c>
      <c r="AI25" s="437" t="s">
        <v>348</v>
      </c>
      <c r="AJ25" s="231" t="s">
        <v>347</v>
      </c>
      <c r="AK25" s="231" t="s">
        <v>555</v>
      </c>
      <c r="AL25" s="231" t="s">
        <v>315</v>
      </c>
      <c r="AM25" s="437" t="s">
        <v>563</v>
      </c>
      <c r="AN25" s="106">
        <v>9.5</v>
      </c>
      <c r="AO25" s="106" t="s">
        <v>382</v>
      </c>
      <c r="AP25" s="106" t="s">
        <v>379</v>
      </c>
      <c r="AQ25" s="231"/>
      <c r="AR25" s="231"/>
      <c r="AS25" s="242">
        <v>1</v>
      </c>
    </row>
    <row r="26" spans="2:45">
      <c r="B26" s="446" t="s">
        <v>88</v>
      </c>
      <c r="C26" s="447" t="s">
        <v>90</v>
      </c>
      <c r="D26" s="447" t="s">
        <v>85</v>
      </c>
      <c r="E26" s="448">
        <v>20</v>
      </c>
      <c r="F26" s="251"/>
      <c r="G26" s="251"/>
      <c r="H26" s="340" t="s">
        <v>92</v>
      </c>
      <c r="I26" s="341" t="s">
        <v>427</v>
      </c>
      <c r="J26" s="342">
        <v>1</v>
      </c>
      <c r="K26" s="341" t="s">
        <v>429</v>
      </c>
      <c r="L26" s="341" t="s">
        <v>430</v>
      </c>
      <c r="M26" s="341" t="s">
        <v>431</v>
      </c>
      <c r="N26" s="341" t="s">
        <v>434</v>
      </c>
      <c r="O26" s="341" t="s">
        <v>432</v>
      </c>
      <c r="P26" s="341">
        <v>20</v>
      </c>
      <c r="Q26" s="341" t="s">
        <v>435</v>
      </c>
      <c r="R26" s="341">
        <v>20</v>
      </c>
      <c r="S26" s="341">
        <v>1</v>
      </c>
      <c r="T26" s="341" t="s">
        <v>441</v>
      </c>
      <c r="U26" s="341">
        <v>1</v>
      </c>
      <c r="V26" s="341" t="s">
        <v>478</v>
      </c>
      <c r="W26" s="341" t="s">
        <v>488</v>
      </c>
      <c r="X26" s="293" t="s">
        <v>491</v>
      </c>
      <c r="Y26" s="293" t="s">
        <v>490</v>
      </c>
      <c r="Z26" s="293">
        <v>5</v>
      </c>
      <c r="AA26" s="293" t="s">
        <v>489</v>
      </c>
      <c r="AB26" s="341" t="s">
        <v>439</v>
      </c>
      <c r="AC26" s="341">
        <v>3</v>
      </c>
      <c r="AD26" s="341" t="s">
        <v>440</v>
      </c>
      <c r="AE26" s="301">
        <v>2</v>
      </c>
      <c r="AF26" s="343" t="s">
        <v>464</v>
      </c>
      <c r="AH26" s="232" t="s">
        <v>349</v>
      </c>
      <c r="AI26" s="437" t="s">
        <v>348</v>
      </c>
      <c r="AJ26" s="231" t="s">
        <v>350</v>
      </c>
      <c r="AK26" s="231" t="s">
        <v>555</v>
      </c>
      <c r="AL26" s="231" t="s">
        <v>315</v>
      </c>
      <c r="AM26" s="437" t="s">
        <v>563</v>
      </c>
      <c r="AN26" s="106">
        <v>9.5</v>
      </c>
      <c r="AO26" s="106" t="s">
        <v>382</v>
      </c>
      <c r="AP26" s="106" t="s">
        <v>379</v>
      </c>
      <c r="AQ26" s="231"/>
      <c r="AR26" s="231"/>
      <c r="AS26" s="242">
        <v>1</v>
      </c>
    </row>
    <row r="27" spans="2:45">
      <c r="B27" s="446" t="s">
        <v>139</v>
      </c>
      <c r="C27" s="447" t="s">
        <v>90</v>
      </c>
      <c r="D27" s="447" t="s">
        <v>85</v>
      </c>
      <c r="E27" s="448">
        <v>17</v>
      </c>
      <c r="F27" s="251"/>
      <c r="G27" s="251"/>
      <c r="H27" s="340" t="s">
        <v>93</v>
      </c>
      <c r="I27" s="341" t="s">
        <v>427</v>
      </c>
      <c r="J27" s="342">
        <v>1</v>
      </c>
      <c r="K27" s="341" t="s">
        <v>429</v>
      </c>
      <c r="L27" s="341" t="s">
        <v>430</v>
      </c>
      <c r="M27" s="341" t="s">
        <v>431</v>
      </c>
      <c r="N27" s="341" t="s">
        <v>434</v>
      </c>
      <c r="O27" s="341" t="s">
        <v>432</v>
      </c>
      <c r="P27" s="341">
        <v>20</v>
      </c>
      <c r="Q27" s="341" t="s">
        <v>435</v>
      </c>
      <c r="R27" s="341">
        <v>20</v>
      </c>
      <c r="S27" s="341">
        <v>1</v>
      </c>
      <c r="T27" s="341" t="s">
        <v>441</v>
      </c>
      <c r="U27" s="341">
        <v>1</v>
      </c>
      <c r="V27" s="341" t="s">
        <v>478</v>
      </c>
      <c r="W27" s="341" t="s">
        <v>488</v>
      </c>
      <c r="X27" s="293" t="s">
        <v>491</v>
      </c>
      <c r="Y27" s="293" t="s">
        <v>490</v>
      </c>
      <c r="Z27" s="293">
        <v>5</v>
      </c>
      <c r="AA27" s="293" t="s">
        <v>489</v>
      </c>
      <c r="AB27" s="341" t="s">
        <v>439</v>
      </c>
      <c r="AC27" s="341">
        <v>3</v>
      </c>
      <c r="AD27" s="341" t="s">
        <v>440</v>
      </c>
      <c r="AE27" s="301">
        <v>2</v>
      </c>
      <c r="AF27" s="343" t="s">
        <v>464</v>
      </c>
      <c r="AH27" s="232" t="s">
        <v>351</v>
      </c>
      <c r="AI27" s="437" t="s">
        <v>348</v>
      </c>
      <c r="AJ27" s="231" t="s">
        <v>352</v>
      </c>
      <c r="AK27" s="231" t="s">
        <v>555</v>
      </c>
      <c r="AL27" s="231" t="s">
        <v>315</v>
      </c>
      <c r="AM27" s="437" t="s">
        <v>563</v>
      </c>
      <c r="AN27" s="106">
        <v>9.5</v>
      </c>
      <c r="AO27" s="106" t="s">
        <v>382</v>
      </c>
      <c r="AP27" s="106" t="s">
        <v>379</v>
      </c>
      <c r="AQ27" s="231"/>
      <c r="AR27" s="231"/>
      <c r="AS27" s="242">
        <v>1</v>
      </c>
    </row>
    <row r="28" spans="2:45">
      <c r="B28" s="446" t="s">
        <v>89</v>
      </c>
      <c r="C28" s="447" t="s">
        <v>90</v>
      </c>
      <c r="D28" s="447" t="s">
        <v>85</v>
      </c>
      <c r="E28" s="448">
        <v>14</v>
      </c>
      <c r="F28" s="251"/>
      <c r="G28" s="251"/>
      <c r="H28" s="340" t="s">
        <v>94</v>
      </c>
      <c r="I28" s="341" t="s">
        <v>427</v>
      </c>
      <c r="J28" s="342">
        <v>1</v>
      </c>
      <c r="K28" s="341" t="s">
        <v>429</v>
      </c>
      <c r="L28" s="341" t="s">
        <v>430</v>
      </c>
      <c r="M28" s="341" t="s">
        <v>431</v>
      </c>
      <c r="N28" s="341" t="s">
        <v>434</v>
      </c>
      <c r="O28" s="341" t="s">
        <v>432</v>
      </c>
      <c r="P28" s="341">
        <v>20</v>
      </c>
      <c r="Q28" s="341" t="s">
        <v>435</v>
      </c>
      <c r="R28" s="341">
        <v>20</v>
      </c>
      <c r="S28" s="341">
        <v>1</v>
      </c>
      <c r="T28" s="341" t="s">
        <v>438</v>
      </c>
      <c r="U28" s="341">
        <v>1</v>
      </c>
      <c r="V28" s="341" t="s">
        <v>540</v>
      </c>
      <c r="W28" s="341" t="s">
        <v>541</v>
      </c>
      <c r="X28" s="341" t="s">
        <v>542</v>
      </c>
      <c r="Y28" s="341" t="s">
        <v>490</v>
      </c>
      <c r="Z28" s="293" t="s">
        <v>542</v>
      </c>
      <c r="AA28" s="293" t="s">
        <v>543</v>
      </c>
      <c r="AB28" s="341" t="s">
        <v>439</v>
      </c>
      <c r="AC28" s="341">
        <v>6</v>
      </c>
      <c r="AD28" s="341" t="s">
        <v>440</v>
      </c>
      <c r="AE28" s="301">
        <v>2</v>
      </c>
      <c r="AF28" s="343" t="s">
        <v>464</v>
      </c>
      <c r="AH28" s="232" t="s">
        <v>353</v>
      </c>
      <c r="AI28" s="458" t="s">
        <v>354</v>
      </c>
      <c r="AJ28" s="231" t="s">
        <v>354</v>
      </c>
      <c r="AK28" s="231" t="s">
        <v>554</v>
      </c>
      <c r="AL28" s="231"/>
      <c r="AM28" s="437"/>
      <c r="AN28" s="231"/>
      <c r="AO28" s="231"/>
      <c r="AP28" s="231"/>
      <c r="AQ28" s="231"/>
      <c r="AR28" s="231"/>
      <c r="AS28" s="242">
        <v>0.81839757754317044</v>
      </c>
    </row>
    <row r="29" spans="2:45">
      <c r="B29" s="446" t="s">
        <v>140</v>
      </c>
      <c r="C29" s="447" t="s">
        <v>90</v>
      </c>
      <c r="D29" s="447" t="s">
        <v>85</v>
      </c>
      <c r="E29" s="448">
        <v>11.5</v>
      </c>
      <c r="F29" s="251"/>
      <c r="G29" s="251"/>
      <c r="H29" s="340" t="s">
        <v>98</v>
      </c>
      <c r="I29" s="341" t="s">
        <v>427</v>
      </c>
      <c r="J29" s="342">
        <v>1</v>
      </c>
      <c r="K29" s="341" t="s">
        <v>429</v>
      </c>
      <c r="L29" s="341" t="s">
        <v>430</v>
      </c>
      <c r="M29" s="341" t="s">
        <v>431</v>
      </c>
      <c r="N29" s="341" t="s">
        <v>434</v>
      </c>
      <c r="O29" s="341" t="s">
        <v>432</v>
      </c>
      <c r="P29" s="341">
        <v>20</v>
      </c>
      <c r="Q29" s="341" t="s">
        <v>435</v>
      </c>
      <c r="R29" s="341">
        <v>20</v>
      </c>
      <c r="S29" s="341">
        <v>1</v>
      </c>
      <c r="T29" s="341" t="s">
        <v>441</v>
      </c>
      <c r="U29" s="341">
        <v>1</v>
      </c>
      <c r="V29" s="341" t="s">
        <v>478</v>
      </c>
      <c r="W29" s="341" t="s">
        <v>488</v>
      </c>
      <c r="X29" s="293" t="s">
        <v>491</v>
      </c>
      <c r="Y29" s="293" t="s">
        <v>490</v>
      </c>
      <c r="Z29" s="293">
        <v>5</v>
      </c>
      <c r="AA29" s="293" t="s">
        <v>489</v>
      </c>
      <c r="AB29" s="341" t="s">
        <v>439</v>
      </c>
      <c r="AC29" s="341">
        <v>3</v>
      </c>
      <c r="AD29" s="341" t="s">
        <v>440</v>
      </c>
      <c r="AE29" s="301">
        <v>2</v>
      </c>
      <c r="AF29" s="343" t="s">
        <v>464</v>
      </c>
      <c r="AH29" s="232" t="s">
        <v>355</v>
      </c>
      <c r="AI29" s="437" t="s">
        <v>357</v>
      </c>
      <c r="AJ29" s="231" t="s">
        <v>356</v>
      </c>
      <c r="AK29" s="231" t="s">
        <v>556</v>
      </c>
      <c r="AL29" s="231"/>
      <c r="AM29" s="437"/>
      <c r="AN29" s="231"/>
      <c r="AO29" s="231"/>
      <c r="AP29" s="231"/>
      <c r="AQ29" s="231"/>
      <c r="AR29" s="231"/>
      <c r="AS29" s="242">
        <v>1</v>
      </c>
    </row>
    <row r="30" spans="2:45">
      <c r="B30" s="446" t="s">
        <v>141</v>
      </c>
      <c r="C30" s="447" t="s">
        <v>90</v>
      </c>
      <c r="D30" s="447" t="s">
        <v>85</v>
      </c>
      <c r="E30" s="448">
        <v>9.5</v>
      </c>
      <c r="F30" s="251"/>
      <c r="G30" s="251"/>
      <c r="H30" s="340" t="s">
        <v>105</v>
      </c>
      <c r="I30" s="341" t="s">
        <v>427</v>
      </c>
      <c r="J30" s="342">
        <v>1</v>
      </c>
      <c r="K30" s="341" t="s">
        <v>429</v>
      </c>
      <c r="L30" s="341" t="s">
        <v>430</v>
      </c>
      <c r="M30" s="341" t="s">
        <v>431</v>
      </c>
      <c r="N30" s="341" t="s">
        <v>434</v>
      </c>
      <c r="O30" s="341" t="s">
        <v>432</v>
      </c>
      <c r="P30" s="341">
        <v>20</v>
      </c>
      <c r="Q30" s="341" t="s">
        <v>435</v>
      </c>
      <c r="R30" s="341">
        <v>20</v>
      </c>
      <c r="S30" s="341">
        <v>1</v>
      </c>
      <c r="T30" s="341" t="s">
        <v>440</v>
      </c>
      <c r="U30" s="341">
        <v>1</v>
      </c>
      <c r="V30" s="341" t="s">
        <v>478</v>
      </c>
      <c r="W30" s="341" t="s">
        <v>488</v>
      </c>
      <c r="X30" s="293" t="s">
        <v>491</v>
      </c>
      <c r="Y30" s="293" t="s">
        <v>490</v>
      </c>
      <c r="Z30" s="293">
        <v>5</v>
      </c>
      <c r="AA30" s="293" t="s">
        <v>489</v>
      </c>
      <c r="AB30" s="341" t="s">
        <v>439</v>
      </c>
      <c r="AC30" s="341">
        <v>6</v>
      </c>
      <c r="AD30" s="341" t="s">
        <v>440</v>
      </c>
      <c r="AE30" s="301">
        <v>2</v>
      </c>
      <c r="AF30" s="343" t="s">
        <v>464</v>
      </c>
      <c r="AH30" s="232" t="s">
        <v>358</v>
      </c>
      <c r="AI30" s="437" t="s">
        <v>357</v>
      </c>
      <c r="AJ30" s="231" t="s">
        <v>359</v>
      </c>
      <c r="AK30" s="231" t="s">
        <v>556</v>
      </c>
      <c r="AL30" s="231"/>
      <c r="AM30" s="437"/>
      <c r="AN30" s="231"/>
      <c r="AO30" s="231"/>
      <c r="AP30" s="231"/>
      <c r="AQ30" s="231"/>
      <c r="AR30" s="231"/>
      <c r="AS30" s="242">
        <v>1</v>
      </c>
    </row>
    <row r="31" spans="2:45">
      <c r="B31" s="446" t="s">
        <v>142</v>
      </c>
      <c r="C31" s="447" t="s">
        <v>90</v>
      </c>
      <c r="D31" s="447" t="s">
        <v>85</v>
      </c>
      <c r="E31" s="448">
        <v>8</v>
      </c>
      <c r="F31" s="251"/>
      <c r="G31" s="251"/>
      <c r="H31" s="340" t="s">
        <v>106</v>
      </c>
      <c r="I31" s="341" t="s">
        <v>427</v>
      </c>
      <c r="J31" s="342">
        <v>1</v>
      </c>
      <c r="K31" s="341" t="s">
        <v>429</v>
      </c>
      <c r="L31" s="341" t="s">
        <v>430</v>
      </c>
      <c r="M31" s="341" t="s">
        <v>431</v>
      </c>
      <c r="N31" s="341" t="s">
        <v>434</v>
      </c>
      <c r="O31" s="341" t="s">
        <v>432</v>
      </c>
      <c r="P31" s="341">
        <v>20</v>
      </c>
      <c r="Q31" s="341" t="s">
        <v>435</v>
      </c>
      <c r="R31" s="341">
        <v>20</v>
      </c>
      <c r="S31" s="341">
        <v>1</v>
      </c>
      <c r="T31" s="341" t="s">
        <v>440</v>
      </c>
      <c r="U31" s="341">
        <v>1</v>
      </c>
      <c r="V31" s="341" t="s">
        <v>478</v>
      </c>
      <c r="W31" s="341" t="s">
        <v>488</v>
      </c>
      <c r="X31" s="293" t="s">
        <v>491</v>
      </c>
      <c r="Y31" s="293" t="s">
        <v>490</v>
      </c>
      <c r="Z31" s="293">
        <v>5</v>
      </c>
      <c r="AA31" s="293" t="s">
        <v>489</v>
      </c>
      <c r="AB31" s="341" t="s">
        <v>439</v>
      </c>
      <c r="AC31" s="341">
        <v>6</v>
      </c>
      <c r="AD31" s="341" t="s">
        <v>440</v>
      </c>
      <c r="AE31" s="301">
        <v>2</v>
      </c>
      <c r="AF31" s="343" t="s">
        <v>464</v>
      </c>
      <c r="AH31" s="232" t="s">
        <v>360</v>
      </c>
      <c r="AI31" s="437" t="s">
        <v>357</v>
      </c>
      <c r="AJ31" s="231" t="s">
        <v>361</v>
      </c>
      <c r="AK31" s="231" t="s">
        <v>556</v>
      </c>
      <c r="AL31" s="231"/>
      <c r="AM31" s="437"/>
      <c r="AN31" s="231"/>
      <c r="AO31" s="231"/>
      <c r="AP31" s="231"/>
      <c r="AQ31" s="231"/>
      <c r="AR31" s="231"/>
      <c r="AS31" s="242">
        <v>1</v>
      </c>
    </row>
    <row r="32" spans="2:45">
      <c r="B32" s="446" t="s">
        <v>143</v>
      </c>
      <c r="C32" s="447" t="s">
        <v>90</v>
      </c>
      <c r="D32" s="447" t="s">
        <v>85</v>
      </c>
      <c r="E32" s="448">
        <v>6.7</v>
      </c>
      <c r="F32" s="251"/>
      <c r="G32" s="251"/>
      <c r="H32" s="340" t="s">
        <v>158</v>
      </c>
      <c r="I32" s="341" t="s">
        <v>427</v>
      </c>
      <c r="J32" s="342">
        <v>1</v>
      </c>
      <c r="K32" s="341" t="s">
        <v>429</v>
      </c>
      <c r="L32" s="341" t="s">
        <v>430</v>
      </c>
      <c r="M32" s="341" t="s">
        <v>431</v>
      </c>
      <c r="N32" s="341" t="s">
        <v>434</v>
      </c>
      <c r="O32" s="341" t="s">
        <v>432</v>
      </c>
      <c r="P32" s="341">
        <v>20</v>
      </c>
      <c r="Q32" s="341" t="s">
        <v>435</v>
      </c>
      <c r="R32" s="341">
        <v>20</v>
      </c>
      <c r="S32" s="341">
        <v>1</v>
      </c>
      <c r="T32" s="341" t="s">
        <v>438</v>
      </c>
      <c r="U32" s="341">
        <v>1</v>
      </c>
      <c r="V32" s="341" t="s">
        <v>540</v>
      </c>
      <c r="W32" s="341" t="s">
        <v>541</v>
      </c>
      <c r="X32" s="341" t="s">
        <v>542</v>
      </c>
      <c r="Y32" s="341" t="s">
        <v>490</v>
      </c>
      <c r="Z32" s="293" t="s">
        <v>542</v>
      </c>
      <c r="AA32" s="293" t="s">
        <v>543</v>
      </c>
      <c r="AB32" s="341" t="s">
        <v>439</v>
      </c>
      <c r="AC32" s="341">
        <v>6</v>
      </c>
      <c r="AD32" s="341" t="s">
        <v>440</v>
      </c>
      <c r="AE32" s="301">
        <v>2</v>
      </c>
      <c r="AF32" s="343" t="s">
        <v>464</v>
      </c>
      <c r="AH32" s="232" t="s">
        <v>314</v>
      </c>
      <c r="AI32" s="447" t="s">
        <v>611</v>
      </c>
      <c r="AJ32" s="106" t="s">
        <v>362</v>
      </c>
      <c r="AK32" s="231" t="s">
        <v>557</v>
      </c>
      <c r="AL32" s="231" t="s">
        <v>318</v>
      </c>
      <c r="AM32" s="437" t="s">
        <v>563</v>
      </c>
      <c r="AN32" s="231"/>
      <c r="AO32" s="231"/>
      <c r="AP32" s="231" t="s">
        <v>379</v>
      </c>
      <c r="AQ32" s="231"/>
      <c r="AR32" s="231"/>
      <c r="AS32" s="242">
        <v>1</v>
      </c>
    </row>
    <row r="33" spans="2:45">
      <c r="B33" s="446" t="s">
        <v>144</v>
      </c>
      <c r="C33" s="447" t="s">
        <v>90</v>
      </c>
      <c r="D33" s="447" t="s">
        <v>85</v>
      </c>
      <c r="E33" s="448">
        <v>5.5</v>
      </c>
      <c r="F33" s="251"/>
      <c r="G33" s="251"/>
      <c r="H33" s="340" t="s">
        <v>159</v>
      </c>
      <c r="I33" s="341" t="s">
        <v>427</v>
      </c>
      <c r="J33" s="342">
        <v>1</v>
      </c>
      <c r="K33" s="341" t="s">
        <v>429</v>
      </c>
      <c r="L33" s="341" t="s">
        <v>430</v>
      </c>
      <c r="M33" s="341" t="s">
        <v>431</v>
      </c>
      <c r="N33" s="341" t="s">
        <v>434</v>
      </c>
      <c r="O33" s="341" t="s">
        <v>432</v>
      </c>
      <c r="P33" s="341">
        <v>20</v>
      </c>
      <c r="Q33" s="341" t="s">
        <v>435</v>
      </c>
      <c r="R33" s="341">
        <v>20</v>
      </c>
      <c r="S33" s="341">
        <v>1</v>
      </c>
      <c r="T33" s="341" t="s">
        <v>438</v>
      </c>
      <c r="U33" s="341">
        <v>1</v>
      </c>
      <c r="V33" s="341" t="s">
        <v>540</v>
      </c>
      <c r="W33" s="341" t="s">
        <v>541</v>
      </c>
      <c r="X33" s="341" t="s">
        <v>542</v>
      </c>
      <c r="Y33" s="341" t="s">
        <v>490</v>
      </c>
      <c r="Z33" s="293" t="s">
        <v>542</v>
      </c>
      <c r="AA33" s="293" t="s">
        <v>543</v>
      </c>
      <c r="AB33" s="341" t="s">
        <v>439</v>
      </c>
      <c r="AC33" s="341">
        <v>6</v>
      </c>
      <c r="AD33" s="341" t="s">
        <v>440</v>
      </c>
      <c r="AE33" s="301">
        <v>2</v>
      </c>
      <c r="AF33" s="343" t="s">
        <v>464</v>
      </c>
      <c r="AH33" s="232" t="s">
        <v>313</v>
      </c>
      <c r="AI33" s="437" t="s">
        <v>313</v>
      </c>
      <c r="AJ33" s="106" t="s">
        <v>363</v>
      </c>
      <c r="AK33" s="231"/>
      <c r="AL33" s="231"/>
      <c r="AM33" s="437"/>
      <c r="AN33" s="231"/>
      <c r="AO33" s="231"/>
      <c r="AP33" s="231"/>
      <c r="AQ33" s="231"/>
      <c r="AR33" s="231"/>
      <c r="AS33" s="242">
        <v>0.90171325518485124</v>
      </c>
    </row>
    <row r="34" spans="2:45">
      <c r="B34" s="446" t="s">
        <v>145</v>
      </c>
      <c r="C34" s="447" t="s">
        <v>90</v>
      </c>
      <c r="D34" s="447" t="s">
        <v>85</v>
      </c>
      <c r="E34" s="448">
        <v>4</v>
      </c>
      <c r="F34" s="251"/>
      <c r="G34" s="251"/>
      <c r="H34" s="344" t="s">
        <v>297</v>
      </c>
      <c r="I34" s="341" t="s">
        <v>427</v>
      </c>
      <c r="J34" s="342">
        <v>1</v>
      </c>
      <c r="K34" s="341" t="s">
        <v>429</v>
      </c>
      <c r="L34" s="341" t="s">
        <v>430</v>
      </c>
      <c r="M34" s="341" t="s">
        <v>431</v>
      </c>
      <c r="N34" s="341" t="s">
        <v>434</v>
      </c>
      <c r="O34" s="341" t="s">
        <v>432</v>
      </c>
      <c r="P34" s="341">
        <v>20</v>
      </c>
      <c r="Q34" s="341" t="s">
        <v>435</v>
      </c>
      <c r="R34" s="341">
        <v>20</v>
      </c>
      <c r="S34" s="341">
        <v>1</v>
      </c>
      <c r="T34" s="341" t="s">
        <v>440</v>
      </c>
      <c r="U34" s="341">
        <v>1</v>
      </c>
      <c r="V34" s="341" t="s">
        <v>478</v>
      </c>
      <c r="W34" s="341" t="s">
        <v>488</v>
      </c>
      <c r="X34" s="293" t="s">
        <v>491</v>
      </c>
      <c r="Y34" s="293" t="s">
        <v>490</v>
      </c>
      <c r="Z34" s="293">
        <v>5</v>
      </c>
      <c r="AA34" s="293" t="s">
        <v>489</v>
      </c>
      <c r="AB34" s="341" t="s">
        <v>439</v>
      </c>
      <c r="AC34" s="341">
        <v>3</v>
      </c>
      <c r="AD34" s="341" t="s">
        <v>440</v>
      </c>
      <c r="AE34" s="301">
        <v>2</v>
      </c>
      <c r="AF34" s="343" t="s">
        <v>464</v>
      </c>
      <c r="AH34" s="232" t="s">
        <v>542</v>
      </c>
      <c r="AI34" s="437" t="s">
        <v>547</v>
      </c>
      <c r="AJ34" s="231" t="s">
        <v>364</v>
      </c>
      <c r="AK34" s="231" t="s">
        <v>558</v>
      </c>
      <c r="AL34" s="231" t="s">
        <v>317</v>
      </c>
      <c r="AM34" s="437" t="s">
        <v>562</v>
      </c>
      <c r="AN34" s="106" t="s">
        <v>544</v>
      </c>
      <c r="AO34" s="231" t="s">
        <v>381</v>
      </c>
      <c r="AP34" s="231"/>
      <c r="AQ34" s="231" t="s">
        <v>376</v>
      </c>
      <c r="AR34" s="231" t="s">
        <v>381</v>
      </c>
      <c r="AS34" s="242">
        <v>1</v>
      </c>
    </row>
    <row r="35" spans="2:45">
      <c r="B35" s="446" t="s">
        <v>310</v>
      </c>
      <c r="C35" s="447" t="s">
        <v>90</v>
      </c>
      <c r="D35" s="447" t="s">
        <v>85</v>
      </c>
      <c r="E35" s="448">
        <v>3</v>
      </c>
      <c r="F35" s="251"/>
      <c r="G35" s="251"/>
      <c r="H35" s="344" t="s">
        <v>296</v>
      </c>
      <c r="I35" s="341" t="s">
        <v>427</v>
      </c>
      <c r="J35" s="342">
        <v>1</v>
      </c>
      <c r="K35" s="341" t="s">
        <v>429</v>
      </c>
      <c r="L35" s="341" t="s">
        <v>430</v>
      </c>
      <c r="M35" s="341" t="s">
        <v>431</v>
      </c>
      <c r="N35" s="341" t="s">
        <v>434</v>
      </c>
      <c r="O35" s="341" t="s">
        <v>432</v>
      </c>
      <c r="P35" s="341">
        <v>20</v>
      </c>
      <c r="Q35" s="341" t="s">
        <v>435</v>
      </c>
      <c r="R35" s="341">
        <v>20</v>
      </c>
      <c r="S35" s="341">
        <v>1</v>
      </c>
      <c r="T35" s="341" t="s">
        <v>440</v>
      </c>
      <c r="U35" s="341">
        <v>1</v>
      </c>
      <c r="V35" s="341" t="s">
        <v>478</v>
      </c>
      <c r="W35" s="341" t="s">
        <v>488</v>
      </c>
      <c r="X35" s="293" t="s">
        <v>491</v>
      </c>
      <c r="Y35" s="293" t="s">
        <v>490</v>
      </c>
      <c r="Z35" s="293">
        <v>5</v>
      </c>
      <c r="AA35" s="293" t="s">
        <v>489</v>
      </c>
      <c r="AB35" s="341" t="s">
        <v>439</v>
      </c>
      <c r="AC35" s="341">
        <v>3</v>
      </c>
      <c r="AD35" s="341" t="s">
        <v>440</v>
      </c>
      <c r="AE35" s="301">
        <v>2</v>
      </c>
      <c r="AF35" s="343" t="s">
        <v>464</v>
      </c>
      <c r="AH35" s="232" t="s">
        <v>542</v>
      </c>
      <c r="AI35" s="437" t="s">
        <v>546</v>
      </c>
      <c r="AJ35" s="231" t="s">
        <v>365</v>
      </c>
      <c r="AK35" s="231" t="s">
        <v>559</v>
      </c>
      <c r="AL35" s="231" t="s">
        <v>317</v>
      </c>
      <c r="AM35" s="437" t="s">
        <v>562</v>
      </c>
      <c r="AN35" s="106" t="s">
        <v>545</v>
      </c>
      <c r="AO35" s="231" t="s">
        <v>381</v>
      </c>
      <c r="AP35" s="231"/>
      <c r="AQ35" s="231" t="s">
        <v>376</v>
      </c>
      <c r="AR35" s="231" t="s">
        <v>381</v>
      </c>
      <c r="AS35" s="242">
        <v>1</v>
      </c>
    </row>
    <row r="36" spans="2:45">
      <c r="B36" s="446" t="s">
        <v>309</v>
      </c>
      <c r="C36" s="447" t="s">
        <v>90</v>
      </c>
      <c r="D36" s="447" t="s">
        <v>85</v>
      </c>
      <c r="E36" s="448">
        <v>2</v>
      </c>
      <c r="F36" s="251"/>
      <c r="G36" s="251"/>
      <c r="H36" s="344" t="s">
        <v>295</v>
      </c>
      <c r="I36" s="341" t="s">
        <v>427</v>
      </c>
      <c r="J36" s="342">
        <v>1</v>
      </c>
      <c r="K36" s="341" t="s">
        <v>429</v>
      </c>
      <c r="L36" s="341" t="s">
        <v>430</v>
      </c>
      <c r="M36" s="341" t="s">
        <v>431</v>
      </c>
      <c r="N36" s="341" t="s">
        <v>434</v>
      </c>
      <c r="O36" s="341" t="s">
        <v>432</v>
      </c>
      <c r="P36" s="341">
        <v>20</v>
      </c>
      <c r="Q36" s="341" t="s">
        <v>435</v>
      </c>
      <c r="R36" s="341">
        <v>20</v>
      </c>
      <c r="S36" s="341">
        <v>1</v>
      </c>
      <c r="T36" s="341" t="s">
        <v>440</v>
      </c>
      <c r="U36" s="341">
        <v>1</v>
      </c>
      <c r="V36" s="341" t="s">
        <v>478</v>
      </c>
      <c r="W36" s="341" t="s">
        <v>488</v>
      </c>
      <c r="X36" s="293" t="s">
        <v>491</v>
      </c>
      <c r="Y36" s="293" t="s">
        <v>490</v>
      </c>
      <c r="Z36" s="293">
        <v>5</v>
      </c>
      <c r="AA36" s="293" t="s">
        <v>489</v>
      </c>
      <c r="AB36" s="341" t="s">
        <v>439</v>
      </c>
      <c r="AC36" s="341">
        <v>3</v>
      </c>
      <c r="AD36" s="341" t="s">
        <v>440</v>
      </c>
      <c r="AE36" s="301">
        <v>2</v>
      </c>
      <c r="AF36" s="343" t="s">
        <v>464</v>
      </c>
      <c r="AH36" s="232" t="s">
        <v>366</v>
      </c>
      <c r="AI36" s="437" t="s">
        <v>366</v>
      </c>
      <c r="AJ36" s="231" t="s">
        <v>366</v>
      </c>
      <c r="AK36" s="231" t="s">
        <v>555</v>
      </c>
      <c r="AL36" s="231" t="s">
        <v>316</v>
      </c>
      <c r="AM36" s="437" t="s">
        <v>563</v>
      </c>
      <c r="AN36" s="106">
        <v>9.5</v>
      </c>
      <c r="AO36" s="106" t="s">
        <v>382</v>
      </c>
      <c r="AP36" s="106" t="s">
        <v>379</v>
      </c>
      <c r="AQ36" s="231"/>
      <c r="AR36" s="231"/>
      <c r="AS36" s="242">
        <v>1</v>
      </c>
    </row>
    <row r="37" spans="2:45">
      <c r="B37" s="446" t="s">
        <v>308</v>
      </c>
      <c r="C37" s="447" t="s">
        <v>90</v>
      </c>
      <c r="D37" s="447" t="s">
        <v>85</v>
      </c>
      <c r="E37" s="448">
        <v>1.2</v>
      </c>
      <c r="F37" s="251"/>
      <c r="G37" s="251"/>
      <c r="H37" s="344" t="s">
        <v>294</v>
      </c>
      <c r="I37" s="341" t="s">
        <v>427</v>
      </c>
      <c r="J37" s="342">
        <v>1</v>
      </c>
      <c r="K37" s="341" t="s">
        <v>429</v>
      </c>
      <c r="L37" s="341" t="s">
        <v>430</v>
      </c>
      <c r="M37" s="341" t="s">
        <v>431</v>
      </c>
      <c r="N37" s="341" t="s">
        <v>434</v>
      </c>
      <c r="O37" s="341" t="s">
        <v>432</v>
      </c>
      <c r="P37" s="341">
        <v>20</v>
      </c>
      <c r="Q37" s="341" t="s">
        <v>435</v>
      </c>
      <c r="R37" s="341">
        <v>20</v>
      </c>
      <c r="S37" s="341">
        <v>1</v>
      </c>
      <c r="T37" s="341" t="s">
        <v>440</v>
      </c>
      <c r="U37" s="341">
        <v>1</v>
      </c>
      <c r="V37" s="341" t="s">
        <v>478</v>
      </c>
      <c r="W37" s="341" t="s">
        <v>488</v>
      </c>
      <c r="X37" s="293" t="s">
        <v>491</v>
      </c>
      <c r="Y37" s="293" t="s">
        <v>490</v>
      </c>
      <c r="Z37" s="293">
        <v>5</v>
      </c>
      <c r="AA37" s="293" t="s">
        <v>489</v>
      </c>
      <c r="AB37" s="341" t="s">
        <v>439</v>
      </c>
      <c r="AC37" s="341">
        <v>3</v>
      </c>
      <c r="AD37" s="341" t="s">
        <v>440</v>
      </c>
      <c r="AE37" s="301">
        <v>2</v>
      </c>
      <c r="AF37" s="343" t="s">
        <v>464</v>
      </c>
      <c r="AH37" s="232"/>
      <c r="AI37" s="437"/>
      <c r="AJ37" s="231"/>
      <c r="AK37" s="231"/>
      <c r="AL37" s="231"/>
      <c r="AM37" s="437"/>
      <c r="AN37" s="231"/>
      <c r="AO37" s="231"/>
      <c r="AP37" s="231"/>
      <c r="AQ37" s="231"/>
      <c r="AR37" s="231"/>
      <c r="AS37" s="242"/>
    </row>
    <row r="38" spans="2:45">
      <c r="B38" s="446" t="s">
        <v>146</v>
      </c>
      <c r="C38" s="447" t="s">
        <v>90</v>
      </c>
      <c r="D38" s="447" t="s">
        <v>85</v>
      </c>
      <c r="E38" s="448">
        <v>0.6</v>
      </c>
      <c r="F38" s="251"/>
      <c r="G38" s="251"/>
      <c r="H38" s="344" t="s">
        <v>293</v>
      </c>
      <c r="I38" s="341" t="s">
        <v>427</v>
      </c>
      <c r="J38" s="342">
        <v>1</v>
      </c>
      <c r="K38" s="341" t="s">
        <v>429</v>
      </c>
      <c r="L38" s="341" t="s">
        <v>430</v>
      </c>
      <c r="M38" s="341" t="s">
        <v>431</v>
      </c>
      <c r="N38" s="341" t="s">
        <v>434</v>
      </c>
      <c r="O38" s="341" t="s">
        <v>432</v>
      </c>
      <c r="P38" s="341">
        <v>20</v>
      </c>
      <c r="Q38" s="341" t="s">
        <v>435</v>
      </c>
      <c r="R38" s="341">
        <v>20</v>
      </c>
      <c r="S38" s="341">
        <v>1</v>
      </c>
      <c r="T38" s="341" t="s">
        <v>438</v>
      </c>
      <c r="U38" s="341">
        <v>1</v>
      </c>
      <c r="V38" s="341" t="s">
        <v>540</v>
      </c>
      <c r="W38" s="341" t="s">
        <v>541</v>
      </c>
      <c r="X38" s="341" t="s">
        <v>542</v>
      </c>
      <c r="Y38" s="341" t="s">
        <v>490</v>
      </c>
      <c r="Z38" s="293" t="s">
        <v>542</v>
      </c>
      <c r="AA38" s="293" t="s">
        <v>543</v>
      </c>
      <c r="AB38" s="341" t="s">
        <v>439</v>
      </c>
      <c r="AC38" s="341">
        <v>6</v>
      </c>
      <c r="AD38" s="341" t="s">
        <v>440</v>
      </c>
      <c r="AE38" s="301">
        <v>2</v>
      </c>
      <c r="AF38" s="343" t="s">
        <v>464</v>
      </c>
      <c r="AH38" s="232" t="s">
        <v>367</v>
      </c>
      <c r="AI38" s="437" t="s">
        <v>368</v>
      </c>
      <c r="AJ38" s="231" t="s">
        <v>368</v>
      </c>
      <c r="AK38" s="231" t="s">
        <v>560</v>
      </c>
      <c r="AL38" s="231" t="s">
        <v>319</v>
      </c>
      <c r="AM38" s="437" t="s">
        <v>563</v>
      </c>
      <c r="AN38" s="106" t="s">
        <v>549</v>
      </c>
      <c r="AO38" s="106" t="s">
        <v>167</v>
      </c>
      <c r="AP38" s="106" t="s">
        <v>379</v>
      </c>
      <c r="AQ38" s="231"/>
      <c r="AR38" s="231"/>
      <c r="AS38" s="242">
        <v>1</v>
      </c>
    </row>
    <row r="39" spans="2:45">
      <c r="B39" s="446" t="s">
        <v>307</v>
      </c>
      <c r="C39" s="447" t="s">
        <v>90</v>
      </c>
      <c r="D39" s="447" t="s">
        <v>95</v>
      </c>
      <c r="E39" s="448">
        <v>70</v>
      </c>
      <c r="F39" s="251"/>
      <c r="G39" s="251"/>
      <c r="H39" s="344" t="s">
        <v>292</v>
      </c>
      <c r="I39" s="341" t="s">
        <v>427</v>
      </c>
      <c r="J39" s="342">
        <v>1</v>
      </c>
      <c r="K39" s="341" t="s">
        <v>429</v>
      </c>
      <c r="L39" s="341" t="s">
        <v>430</v>
      </c>
      <c r="M39" s="341" t="s">
        <v>431</v>
      </c>
      <c r="N39" s="341" t="s">
        <v>434</v>
      </c>
      <c r="O39" s="341" t="s">
        <v>432</v>
      </c>
      <c r="P39" s="341">
        <v>20</v>
      </c>
      <c r="Q39" s="341" t="s">
        <v>435</v>
      </c>
      <c r="R39" s="341">
        <v>20</v>
      </c>
      <c r="S39" s="341">
        <v>1</v>
      </c>
      <c r="T39" s="341" t="s">
        <v>438</v>
      </c>
      <c r="U39" s="341">
        <v>1</v>
      </c>
      <c r="V39" s="341" t="s">
        <v>540</v>
      </c>
      <c r="W39" s="341" t="s">
        <v>541</v>
      </c>
      <c r="X39" s="341" t="s">
        <v>542</v>
      </c>
      <c r="Y39" s="341" t="s">
        <v>490</v>
      </c>
      <c r="Z39" s="293" t="s">
        <v>542</v>
      </c>
      <c r="AA39" s="293" t="s">
        <v>543</v>
      </c>
      <c r="AB39" s="341" t="s">
        <v>439</v>
      </c>
      <c r="AC39" s="341">
        <v>6</v>
      </c>
      <c r="AD39" s="341" t="s">
        <v>440</v>
      </c>
      <c r="AE39" s="301">
        <v>2</v>
      </c>
      <c r="AF39" s="343" t="s">
        <v>464</v>
      </c>
      <c r="AH39" s="232" t="s">
        <v>369</v>
      </c>
      <c r="AI39" s="437" t="s">
        <v>370</v>
      </c>
      <c r="AJ39" s="231" t="s">
        <v>370</v>
      </c>
      <c r="AK39" s="231" t="s">
        <v>558</v>
      </c>
      <c r="AL39" s="231" t="s">
        <v>317</v>
      </c>
      <c r="AM39" s="437" t="s">
        <v>562</v>
      </c>
      <c r="AN39" s="106" t="s">
        <v>550</v>
      </c>
      <c r="AO39" s="231" t="s">
        <v>381</v>
      </c>
      <c r="AP39" s="231"/>
      <c r="AQ39" s="231" t="s">
        <v>376</v>
      </c>
      <c r="AR39" s="231" t="s">
        <v>381</v>
      </c>
      <c r="AS39" s="242">
        <v>1</v>
      </c>
    </row>
    <row r="40" spans="2:45">
      <c r="B40" s="446" t="s">
        <v>91</v>
      </c>
      <c r="C40" s="447" t="s">
        <v>90</v>
      </c>
      <c r="D40" s="447" t="s">
        <v>95</v>
      </c>
      <c r="E40" s="448">
        <v>50</v>
      </c>
      <c r="F40" s="251"/>
      <c r="G40" s="251"/>
      <c r="H40" s="344" t="s">
        <v>291</v>
      </c>
      <c r="I40" s="341" t="s">
        <v>427</v>
      </c>
      <c r="J40" s="342">
        <v>1</v>
      </c>
      <c r="K40" s="341" t="s">
        <v>429</v>
      </c>
      <c r="L40" s="341" t="s">
        <v>430</v>
      </c>
      <c r="M40" s="341" t="s">
        <v>431</v>
      </c>
      <c r="N40" s="341" t="s">
        <v>434</v>
      </c>
      <c r="O40" s="341" t="s">
        <v>432</v>
      </c>
      <c r="P40" s="341">
        <v>20</v>
      </c>
      <c r="Q40" s="341" t="s">
        <v>435</v>
      </c>
      <c r="R40" s="341">
        <v>20</v>
      </c>
      <c r="S40" s="341">
        <v>1</v>
      </c>
      <c r="T40" s="341" t="s">
        <v>438</v>
      </c>
      <c r="U40" s="341">
        <v>1</v>
      </c>
      <c r="V40" s="341" t="s">
        <v>540</v>
      </c>
      <c r="W40" s="341" t="s">
        <v>541</v>
      </c>
      <c r="X40" s="341" t="s">
        <v>542</v>
      </c>
      <c r="Y40" s="341" t="s">
        <v>490</v>
      </c>
      <c r="Z40" s="293" t="s">
        <v>542</v>
      </c>
      <c r="AA40" s="293" t="s">
        <v>543</v>
      </c>
      <c r="AB40" s="341" t="s">
        <v>439</v>
      </c>
      <c r="AC40" s="341">
        <v>6</v>
      </c>
      <c r="AD40" s="341" t="s">
        <v>440</v>
      </c>
      <c r="AE40" s="301">
        <v>2</v>
      </c>
      <c r="AF40" s="343" t="s">
        <v>464</v>
      </c>
      <c r="AH40" s="232"/>
      <c r="AI40" s="437"/>
      <c r="AJ40" s="231"/>
      <c r="AK40" s="231"/>
      <c r="AL40" s="231"/>
      <c r="AM40" s="437"/>
      <c r="AN40" s="106"/>
      <c r="AO40" s="106"/>
      <c r="AP40" s="106"/>
      <c r="AQ40" s="231"/>
      <c r="AR40" s="231"/>
      <c r="AS40" s="242"/>
    </row>
    <row r="41" spans="2:45" ht="14.25" thickBot="1">
      <c r="B41" s="446" t="s">
        <v>306</v>
      </c>
      <c r="C41" s="447" t="s">
        <v>90</v>
      </c>
      <c r="D41" s="447" t="s">
        <v>95</v>
      </c>
      <c r="E41" s="448">
        <v>25</v>
      </c>
      <c r="F41" s="251"/>
      <c r="G41" s="251"/>
      <c r="H41" s="344" t="s">
        <v>290</v>
      </c>
      <c r="I41" s="341" t="s">
        <v>427</v>
      </c>
      <c r="J41" s="342">
        <v>1</v>
      </c>
      <c r="K41" s="341" t="s">
        <v>429</v>
      </c>
      <c r="L41" s="341" t="s">
        <v>430</v>
      </c>
      <c r="M41" s="341" t="s">
        <v>431</v>
      </c>
      <c r="N41" s="341" t="s">
        <v>434</v>
      </c>
      <c r="O41" s="341" t="s">
        <v>432</v>
      </c>
      <c r="P41" s="341">
        <v>20</v>
      </c>
      <c r="Q41" s="341" t="s">
        <v>435</v>
      </c>
      <c r="R41" s="341">
        <v>20</v>
      </c>
      <c r="S41" s="341">
        <v>1</v>
      </c>
      <c r="T41" s="341" t="s">
        <v>438</v>
      </c>
      <c r="U41" s="341">
        <v>1</v>
      </c>
      <c r="V41" s="341" t="s">
        <v>540</v>
      </c>
      <c r="W41" s="341" t="s">
        <v>541</v>
      </c>
      <c r="X41" s="341" t="s">
        <v>542</v>
      </c>
      <c r="Y41" s="341" t="s">
        <v>490</v>
      </c>
      <c r="Z41" s="293" t="s">
        <v>542</v>
      </c>
      <c r="AA41" s="293" t="s">
        <v>543</v>
      </c>
      <c r="AB41" s="341" t="s">
        <v>439</v>
      </c>
      <c r="AC41" s="341">
        <v>6</v>
      </c>
      <c r="AD41" s="341" t="s">
        <v>440</v>
      </c>
      <c r="AE41" s="301">
        <v>2</v>
      </c>
      <c r="AF41" s="343" t="s">
        <v>464</v>
      </c>
      <c r="AH41" s="233" t="s">
        <v>371</v>
      </c>
      <c r="AI41" s="234" t="s">
        <v>372</v>
      </c>
      <c r="AJ41" s="234" t="s">
        <v>372</v>
      </c>
      <c r="AK41" s="234"/>
      <c r="AL41" s="234"/>
      <c r="AM41" s="234"/>
      <c r="AN41" s="234"/>
      <c r="AO41" s="234"/>
      <c r="AP41" s="234"/>
      <c r="AQ41" s="234"/>
      <c r="AR41" s="234"/>
      <c r="AS41" s="243">
        <v>1</v>
      </c>
    </row>
    <row r="42" spans="2:45">
      <c r="B42" s="446" t="s">
        <v>92</v>
      </c>
      <c r="C42" s="447" t="s">
        <v>90</v>
      </c>
      <c r="D42" s="447" t="s">
        <v>95</v>
      </c>
      <c r="E42" s="448">
        <v>25</v>
      </c>
      <c r="F42" s="251"/>
      <c r="G42" s="251"/>
      <c r="H42" s="344" t="s">
        <v>289</v>
      </c>
      <c r="I42" s="341" t="s">
        <v>427</v>
      </c>
      <c r="J42" s="342">
        <v>1</v>
      </c>
      <c r="K42" s="341" t="s">
        <v>429</v>
      </c>
      <c r="L42" s="341" t="s">
        <v>430</v>
      </c>
      <c r="M42" s="341" t="s">
        <v>431</v>
      </c>
      <c r="N42" s="341" t="s">
        <v>434</v>
      </c>
      <c r="O42" s="341" t="s">
        <v>432</v>
      </c>
      <c r="P42" s="341">
        <v>20</v>
      </c>
      <c r="Q42" s="341" t="s">
        <v>435</v>
      </c>
      <c r="R42" s="341">
        <v>20</v>
      </c>
      <c r="S42" s="341">
        <v>1</v>
      </c>
      <c r="T42" s="341" t="s">
        <v>438</v>
      </c>
      <c r="U42" s="341">
        <v>1</v>
      </c>
      <c r="V42" s="341" t="s">
        <v>540</v>
      </c>
      <c r="W42" s="341" t="s">
        <v>541</v>
      </c>
      <c r="X42" s="341" t="s">
        <v>542</v>
      </c>
      <c r="Y42" s="341" t="s">
        <v>490</v>
      </c>
      <c r="Z42" s="293" t="s">
        <v>542</v>
      </c>
      <c r="AA42" s="293" t="s">
        <v>543</v>
      </c>
      <c r="AB42" s="341" t="s">
        <v>439</v>
      </c>
      <c r="AC42" s="341">
        <v>6</v>
      </c>
      <c r="AD42" s="341" t="s">
        <v>440</v>
      </c>
      <c r="AE42" s="301">
        <v>2</v>
      </c>
      <c r="AF42" s="343" t="s">
        <v>464</v>
      </c>
    </row>
    <row r="43" spans="2:45">
      <c r="B43" s="446" t="s">
        <v>93</v>
      </c>
      <c r="C43" s="447" t="s">
        <v>90</v>
      </c>
      <c r="D43" s="447" t="s">
        <v>95</v>
      </c>
      <c r="E43" s="448">
        <v>20</v>
      </c>
      <c r="F43" s="251"/>
      <c r="G43" s="251"/>
      <c r="H43" s="344" t="s">
        <v>288</v>
      </c>
      <c r="I43" s="341" t="s">
        <v>427</v>
      </c>
      <c r="J43" s="342">
        <v>1</v>
      </c>
      <c r="K43" s="341" t="s">
        <v>429</v>
      </c>
      <c r="L43" s="341" t="s">
        <v>430</v>
      </c>
      <c r="M43" s="341" t="s">
        <v>431</v>
      </c>
      <c r="N43" s="341" t="s">
        <v>434</v>
      </c>
      <c r="O43" s="341" t="s">
        <v>432</v>
      </c>
      <c r="P43" s="341">
        <v>20</v>
      </c>
      <c r="Q43" s="341" t="s">
        <v>435</v>
      </c>
      <c r="R43" s="341">
        <v>20</v>
      </c>
      <c r="S43" s="341">
        <v>1</v>
      </c>
      <c r="T43" s="341" t="s">
        <v>438</v>
      </c>
      <c r="U43" s="341">
        <v>1</v>
      </c>
      <c r="V43" s="341" t="s">
        <v>540</v>
      </c>
      <c r="W43" s="341" t="s">
        <v>541</v>
      </c>
      <c r="X43" s="341" t="s">
        <v>542</v>
      </c>
      <c r="Y43" s="341" t="s">
        <v>490</v>
      </c>
      <c r="Z43" s="293" t="s">
        <v>542</v>
      </c>
      <c r="AA43" s="293" t="s">
        <v>543</v>
      </c>
      <c r="AB43" s="341" t="s">
        <v>439</v>
      </c>
      <c r="AC43" s="341">
        <v>6</v>
      </c>
      <c r="AD43" s="341" t="s">
        <v>440</v>
      </c>
      <c r="AE43" s="301">
        <v>2</v>
      </c>
      <c r="AF43" s="343" t="s">
        <v>464</v>
      </c>
    </row>
    <row r="44" spans="2:45">
      <c r="B44" s="446" t="s">
        <v>94</v>
      </c>
      <c r="C44" s="447" t="s">
        <v>90</v>
      </c>
      <c r="D44" s="447" t="s">
        <v>95</v>
      </c>
      <c r="E44" s="448">
        <v>3.8</v>
      </c>
      <c r="F44" s="251"/>
      <c r="G44" s="251"/>
      <c r="H44" s="344" t="s">
        <v>287</v>
      </c>
      <c r="I44" s="341" t="s">
        <v>427</v>
      </c>
      <c r="J44" s="342">
        <v>1</v>
      </c>
      <c r="K44" s="341" t="s">
        <v>429</v>
      </c>
      <c r="L44" s="341" t="s">
        <v>430</v>
      </c>
      <c r="M44" s="341" t="s">
        <v>431</v>
      </c>
      <c r="N44" s="341" t="s">
        <v>434</v>
      </c>
      <c r="O44" s="341" t="s">
        <v>432</v>
      </c>
      <c r="P44" s="341">
        <v>20</v>
      </c>
      <c r="Q44" s="341" t="s">
        <v>435</v>
      </c>
      <c r="R44" s="341">
        <v>20</v>
      </c>
      <c r="S44" s="341">
        <v>1</v>
      </c>
      <c r="T44" s="341" t="s">
        <v>440</v>
      </c>
      <c r="U44" s="341">
        <v>1</v>
      </c>
      <c r="V44" s="341" t="s">
        <v>478</v>
      </c>
      <c r="W44" s="341" t="s">
        <v>488</v>
      </c>
      <c r="X44" s="293" t="s">
        <v>491</v>
      </c>
      <c r="Y44" s="293" t="s">
        <v>490</v>
      </c>
      <c r="Z44" s="293">
        <v>5</v>
      </c>
      <c r="AA44" s="293" t="s">
        <v>489</v>
      </c>
      <c r="AB44" s="341" t="s">
        <v>439</v>
      </c>
      <c r="AC44" s="341">
        <v>3</v>
      </c>
      <c r="AD44" s="341" t="s">
        <v>440</v>
      </c>
      <c r="AE44" s="301">
        <v>2</v>
      </c>
      <c r="AF44" s="343" t="s">
        <v>464</v>
      </c>
    </row>
    <row r="45" spans="2:45">
      <c r="B45" s="446" t="s">
        <v>154</v>
      </c>
      <c r="C45" s="447" t="s">
        <v>305</v>
      </c>
      <c r="D45" s="447" t="s">
        <v>95</v>
      </c>
      <c r="E45" s="449" t="s">
        <v>99</v>
      </c>
      <c r="F45" s="252"/>
      <c r="G45" s="252"/>
      <c r="H45" s="344" t="s">
        <v>286</v>
      </c>
      <c r="I45" s="341" t="s">
        <v>427</v>
      </c>
      <c r="J45" s="342">
        <v>1</v>
      </c>
      <c r="K45" s="341" t="s">
        <v>429</v>
      </c>
      <c r="L45" s="341" t="s">
        <v>430</v>
      </c>
      <c r="M45" s="341" t="s">
        <v>431</v>
      </c>
      <c r="N45" s="341" t="s">
        <v>434</v>
      </c>
      <c r="O45" s="341" t="s">
        <v>432</v>
      </c>
      <c r="P45" s="341">
        <v>20</v>
      </c>
      <c r="Q45" s="341" t="s">
        <v>435</v>
      </c>
      <c r="R45" s="341">
        <v>20</v>
      </c>
      <c r="S45" s="341">
        <v>1</v>
      </c>
      <c r="T45" s="341" t="s">
        <v>440</v>
      </c>
      <c r="U45" s="341">
        <v>1</v>
      </c>
      <c r="V45" s="341" t="s">
        <v>478</v>
      </c>
      <c r="W45" s="341" t="s">
        <v>488</v>
      </c>
      <c r="X45" s="293" t="s">
        <v>491</v>
      </c>
      <c r="Y45" s="293" t="s">
        <v>490</v>
      </c>
      <c r="Z45" s="293">
        <v>5</v>
      </c>
      <c r="AA45" s="293" t="s">
        <v>489</v>
      </c>
      <c r="AB45" s="341" t="s">
        <v>439</v>
      </c>
      <c r="AC45" s="341">
        <v>3</v>
      </c>
      <c r="AD45" s="341" t="s">
        <v>440</v>
      </c>
      <c r="AE45" s="301">
        <v>2</v>
      </c>
      <c r="AF45" s="345" t="s">
        <v>464</v>
      </c>
    </row>
    <row r="46" spans="2:45">
      <c r="B46" s="446" t="s">
        <v>155</v>
      </c>
      <c r="C46" s="447" t="s">
        <v>305</v>
      </c>
      <c r="D46" s="447" t="s">
        <v>95</v>
      </c>
      <c r="E46" s="449" t="s">
        <v>100</v>
      </c>
      <c r="F46" s="252"/>
      <c r="G46" s="252"/>
      <c r="H46" s="344" t="s">
        <v>285</v>
      </c>
      <c r="I46" s="341" t="s">
        <v>427</v>
      </c>
      <c r="J46" s="342">
        <v>1</v>
      </c>
      <c r="K46" s="341" t="s">
        <v>429</v>
      </c>
      <c r="L46" s="341" t="s">
        <v>430</v>
      </c>
      <c r="M46" s="341" t="s">
        <v>431</v>
      </c>
      <c r="N46" s="341" t="s">
        <v>434</v>
      </c>
      <c r="O46" s="341" t="s">
        <v>432</v>
      </c>
      <c r="P46" s="341">
        <v>20</v>
      </c>
      <c r="Q46" s="341" t="s">
        <v>435</v>
      </c>
      <c r="R46" s="341">
        <v>20</v>
      </c>
      <c r="S46" s="341">
        <v>1</v>
      </c>
      <c r="T46" s="341" t="s">
        <v>440</v>
      </c>
      <c r="U46" s="341">
        <v>1</v>
      </c>
      <c r="V46" s="341" t="s">
        <v>478</v>
      </c>
      <c r="W46" s="341" t="s">
        <v>488</v>
      </c>
      <c r="X46" s="293" t="s">
        <v>491</v>
      </c>
      <c r="Y46" s="293" t="s">
        <v>490</v>
      </c>
      <c r="Z46" s="293">
        <v>5</v>
      </c>
      <c r="AA46" s="293" t="s">
        <v>489</v>
      </c>
      <c r="AB46" s="341" t="s">
        <v>439</v>
      </c>
      <c r="AC46" s="341">
        <v>3</v>
      </c>
      <c r="AD46" s="341" t="s">
        <v>440</v>
      </c>
      <c r="AE46" s="301">
        <v>2</v>
      </c>
      <c r="AF46" s="345" t="s">
        <v>464</v>
      </c>
    </row>
    <row r="47" spans="2:45">
      <c r="B47" s="446" t="s">
        <v>156</v>
      </c>
      <c r="C47" s="447" t="s">
        <v>305</v>
      </c>
      <c r="D47" s="447" t="s">
        <v>95</v>
      </c>
      <c r="E47" s="449" t="s">
        <v>101</v>
      </c>
      <c r="F47" s="252"/>
      <c r="G47" s="252"/>
      <c r="H47" s="344" t="s">
        <v>284</v>
      </c>
      <c r="I47" s="341" t="s">
        <v>427</v>
      </c>
      <c r="J47" s="342">
        <v>1</v>
      </c>
      <c r="K47" s="341" t="s">
        <v>429</v>
      </c>
      <c r="L47" s="341" t="s">
        <v>430</v>
      </c>
      <c r="M47" s="341" t="s">
        <v>431</v>
      </c>
      <c r="N47" s="341" t="s">
        <v>434</v>
      </c>
      <c r="O47" s="341" t="s">
        <v>432</v>
      </c>
      <c r="P47" s="341">
        <v>20</v>
      </c>
      <c r="Q47" s="341" t="s">
        <v>435</v>
      </c>
      <c r="R47" s="341">
        <v>20</v>
      </c>
      <c r="S47" s="341">
        <v>1</v>
      </c>
      <c r="T47" s="341" t="s">
        <v>440</v>
      </c>
      <c r="U47" s="341">
        <v>1</v>
      </c>
      <c r="V47" s="341" t="s">
        <v>478</v>
      </c>
      <c r="W47" s="341" t="s">
        <v>488</v>
      </c>
      <c r="X47" s="293" t="s">
        <v>491</v>
      </c>
      <c r="Y47" s="293" t="s">
        <v>490</v>
      </c>
      <c r="Z47" s="293">
        <v>5</v>
      </c>
      <c r="AA47" s="293" t="s">
        <v>489</v>
      </c>
      <c r="AB47" s="341" t="s">
        <v>439</v>
      </c>
      <c r="AC47" s="341">
        <v>3</v>
      </c>
      <c r="AD47" s="341" t="s">
        <v>440</v>
      </c>
      <c r="AE47" s="301">
        <v>2</v>
      </c>
      <c r="AF47" s="345" t="s">
        <v>464</v>
      </c>
    </row>
    <row r="48" spans="2:45">
      <c r="B48" s="446" t="s">
        <v>96</v>
      </c>
      <c r="C48" s="447" t="s">
        <v>305</v>
      </c>
      <c r="D48" s="447" t="s">
        <v>95</v>
      </c>
      <c r="E48" s="449">
        <v>200</v>
      </c>
      <c r="F48" s="252"/>
      <c r="G48" s="252"/>
      <c r="H48" s="344" t="s">
        <v>283</v>
      </c>
      <c r="I48" s="341" t="s">
        <v>427</v>
      </c>
      <c r="J48" s="342">
        <v>1</v>
      </c>
      <c r="K48" s="341" t="s">
        <v>429</v>
      </c>
      <c r="L48" s="341" t="s">
        <v>430</v>
      </c>
      <c r="M48" s="341" t="s">
        <v>431</v>
      </c>
      <c r="N48" s="341" t="s">
        <v>434</v>
      </c>
      <c r="O48" s="341" t="s">
        <v>432</v>
      </c>
      <c r="P48" s="341">
        <v>20</v>
      </c>
      <c r="Q48" s="341" t="s">
        <v>435</v>
      </c>
      <c r="R48" s="341">
        <v>20</v>
      </c>
      <c r="S48" s="341">
        <v>1</v>
      </c>
      <c r="T48" s="341" t="s">
        <v>438</v>
      </c>
      <c r="U48" s="341">
        <v>1</v>
      </c>
      <c r="V48" s="341" t="s">
        <v>540</v>
      </c>
      <c r="W48" s="341" t="s">
        <v>541</v>
      </c>
      <c r="X48" s="341" t="s">
        <v>542</v>
      </c>
      <c r="Y48" s="341" t="s">
        <v>490</v>
      </c>
      <c r="Z48" s="293" t="s">
        <v>542</v>
      </c>
      <c r="AA48" s="293" t="s">
        <v>543</v>
      </c>
      <c r="AB48" s="341" t="s">
        <v>439</v>
      </c>
      <c r="AC48" s="341">
        <v>6</v>
      </c>
      <c r="AD48" s="341" t="s">
        <v>440</v>
      </c>
      <c r="AE48" s="301">
        <v>2</v>
      </c>
      <c r="AF48" s="345" t="s">
        <v>464</v>
      </c>
    </row>
    <row r="49" spans="2:32">
      <c r="B49" s="446" t="s">
        <v>97</v>
      </c>
      <c r="C49" s="447" t="s">
        <v>305</v>
      </c>
      <c r="D49" s="447" t="s">
        <v>95</v>
      </c>
      <c r="E49" s="449">
        <v>110</v>
      </c>
      <c r="F49" s="252"/>
      <c r="G49" s="252"/>
      <c r="H49" s="344" t="s">
        <v>282</v>
      </c>
      <c r="I49" s="341" t="s">
        <v>427</v>
      </c>
      <c r="J49" s="342">
        <v>1</v>
      </c>
      <c r="K49" s="341" t="s">
        <v>429</v>
      </c>
      <c r="L49" s="341" t="s">
        <v>430</v>
      </c>
      <c r="M49" s="341" t="s">
        <v>431</v>
      </c>
      <c r="N49" s="341" t="s">
        <v>434</v>
      </c>
      <c r="O49" s="341" t="s">
        <v>432</v>
      </c>
      <c r="P49" s="341">
        <v>20</v>
      </c>
      <c r="Q49" s="341" t="s">
        <v>435</v>
      </c>
      <c r="R49" s="341">
        <v>20</v>
      </c>
      <c r="S49" s="341">
        <v>1</v>
      </c>
      <c r="T49" s="341" t="s">
        <v>438</v>
      </c>
      <c r="U49" s="341">
        <v>1</v>
      </c>
      <c r="V49" s="341" t="s">
        <v>540</v>
      </c>
      <c r="W49" s="341" t="s">
        <v>541</v>
      </c>
      <c r="X49" s="341" t="s">
        <v>542</v>
      </c>
      <c r="Y49" s="341" t="s">
        <v>490</v>
      </c>
      <c r="Z49" s="293" t="s">
        <v>542</v>
      </c>
      <c r="AA49" s="293" t="s">
        <v>543</v>
      </c>
      <c r="AB49" s="341" t="s">
        <v>439</v>
      </c>
      <c r="AC49" s="341">
        <v>6</v>
      </c>
      <c r="AD49" s="341" t="s">
        <v>440</v>
      </c>
      <c r="AE49" s="301">
        <v>2</v>
      </c>
      <c r="AF49" s="345" t="s">
        <v>464</v>
      </c>
    </row>
    <row r="50" spans="2:32">
      <c r="B50" s="446" t="s">
        <v>98</v>
      </c>
      <c r="C50" s="447" t="s">
        <v>305</v>
      </c>
      <c r="D50" s="447" t="s">
        <v>95</v>
      </c>
      <c r="E50" s="449">
        <v>50</v>
      </c>
      <c r="F50" s="252"/>
      <c r="G50" s="252"/>
      <c r="H50" s="344" t="s">
        <v>281</v>
      </c>
      <c r="I50" s="341" t="s">
        <v>427</v>
      </c>
      <c r="J50" s="342">
        <v>1</v>
      </c>
      <c r="K50" s="341" t="s">
        <v>429</v>
      </c>
      <c r="L50" s="341" t="s">
        <v>430</v>
      </c>
      <c r="M50" s="341" t="s">
        <v>431</v>
      </c>
      <c r="N50" s="341" t="s">
        <v>434</v>
      </c>
      <c r="O50" s="341" t="s">
        <v>432</v>
      </c>
      <c r="P50" s="341">
        <v>20</v>
      </c>
      <c r="Q50" s="341" t="s">
        <v>435</v>
      </c>
      <c r="R50" s="341">
        <v>20</v>
      </c>
      <c r="S50" s="341">
        <v>1</v>
      </c>
      <c r="T50" s="341" t="s">
        <v>438</v>
      </c>
      <c r="U50" s="341">
        <v>1</v>
      </c>
      <c r="V50" s="341" t="s">
        <v>540</v>
      </c>
      <c r="W50" s="341" t="s">
        <v>541</v>
      </c>
      <c r="X50" s="341" t="s">
        <v>542</v>
      </c>
      <c r="Y50" s="341" t="s">
        <v>490</v>
      </c>
      <c r="Z50" s="293" t="s">
        <v>542</v>
      </c>
      <c r="AA50" s="293" t="s">
        <v>543</v>
      </c>
      <c r="AB50" s="341" t="s">
        <v>439</v>
      </c>
      <c r="AC50" s="341">
        <v>6</v>
      </c>
      <c r="AD50" s="341" t="s">
        <v>440</v>
      </c>
      <c r="AE50" s="301">
        <v>2</v>
      </c>
      <c r="AF50" s="345" t="s">
        <v>464</v>
      </c>
    </row>
    <row r="51" spans="2:32">
      <c r="B51" s="446" t="s">
        <v>304</v>
      </c>
      <c r="C51" s="447" t="s">
        <v>107</v>
      </c>
      <c r="D51" s="447" t="s">
        <v>95</v>
      </c>
      <c r="E51" s="449" t="s">
        <v>108</v>
      </c>
      <c r="F51" s="252"/>
      <c r="G51" s="252"/>
      <c r="H51" s="344" t="s">
        <v>280</v>
      </c>
      <c r="I51" s="341" t="s">
        <v>427</v>
      </c>
      <c r="J51" s="342">
        <v>1</v>
      </c>
      <c r="K51" s="341" t="s">
        <v>429</v>
      </c>
      <c r="L51" s="341" t="s">
        <v>430</v>
      </c>
      <c r="M51" s="341" t="s">
        <v>431</v>
      </c>
      <c r="N51" s="341" t="s">
        <v>434</v>
      </c>
      <c r="O51" s="341" t="s">
        <v>432</v>
      </c>
      <c r="P51" s="341">
        <v>20</v>
      </c>
      <c r="Q51" s="341" t="s">
        <v>435</v>
      </c>
      <c r="R51" s="341">
        <v>20</v>
      </c>
      <c r="S51" s="341">
        <v>1</v>
      </c>
      <c r="T51" s="341" t="s">
        <v>438</v>
      </c>
      <c r="U51" s="341">
        <v>1</v>
      </c>
      <c r="V51" s="341" t="s">
        <v>540</v>
      </c>
      <c r="W51" s="341" t="s">
        <v>541</v>
      </c>
      <c r="X51" s="341" t="s">
        <v>542</v>
      </c>
      <c r="Y51" s="341" t="s">
        <v>490</v>
      </c>
      <c r="Z51" s="293" t="s">
        <v>542</v>
      </c>
      <c r="AA51" s="293" t="s">
        <v>543</v>
      </c>
      <c r="AB51" s="341" t="s">
        <v>439</v>
      </c>
      <c r="AC51" s="341">
        <v>6</v>
      </c>
      <c r="AD51" s="341" t="s">
        <v>440</v>
      </c>
      <c r="AE51" s="301">
        <v>2</v>
      </c>
      <c r="AF51" s="345" t="s">
        <v>464</v>
      </c>
    </row>
    <row r="52" spans="2:32">
      <c r="B52" s="446" t="s">
        <v>102</v>
      </c>
      <c r="C52" s="447" t="s">
        <v>107</v>
      </c>
      <c r="D52" s="447" t="s">
        <v>95</v>
      </c>
      <c r="E52" s="449" t="s">
        <v>109</v>
      </c>
      <c r="F52" s="252"/>
      <c r="G52" s="252"/>
      <c r="H52" s="344" t="s">
        <v>279</v>
      </c>
      <c r="I52" s="341" t="s">
        <v>427</v>
      </c>
      <c r="J52" s="342">
        <v>1</v>
      </c>
      <c r="K52" s="341" t="s">
        <v>429</v>
      </c>
      <c r="L52" s="341" t="s">
        <v>430</v>
      </c>
      <c r="M52" s="341" t="s">
        <v>431</v>
      </c>
      <c r="N52" s="341" t="s">
        <v>434</v>
      </c>
      <c r="O52" s="341" t="s">
        <v>432</v>
      </c>
      <c r="P52" s="341">
        <v>20</v>
      </c>
      <c r="Q52" s="341" t="s">
        <v>435</v>
      </c>
      <c r="R52" s="341">
        <v>20</v>
      </c>
      <c r="S52" s="341">
        <v>1</v>
      </c>
      <c r="T52" s="341" t="s">
        <v>438</v>
      </c>
      <c r="U52" s="341">
        <v>1</v>
      </c>
      <c r="V52" s="341" t="s">
        <v>540</v>
      </c>
      <c r="W52" s="341" t="s">
        <v>541</v>
      </c>
      <c r="X52" s="341" t="s">
        <v>542</v>
      </c>
      <c r="Y52" s="341" t="s">
        <v>490</v>
      </c>
      <c r="Z52" s="293" t="s">
        <v>542</v>
      </c>
      <c r="AA52" s="293" t="s">
        <v>543</v>
      </c>
      <c r="AB52" s="341" t="s">
        <v>439</v>
      </c>
      <c r="AC52" s="341">
        <v>6</v>
      </c>
      <c r="AD52" s="341" t="s">
        <v>440</v>
      </c>
      <c r="AE52" s="301">
        <v>2</v>
      </c>
      <c r="AF52" s="345" t="s">
        <v>464</v>
      </c>
    </row>
    <row r="53" spans="2:32">
      <c r="B53" s="446" t="s">
        <v>103</v>
      </c>
      <c r="C53" s="447" t="s">
        <v>107</v>
      </c>
      <c r="D53" s="447" t="s">
        <v>95</v>
      </c>
      <c r="E53" s="449" t="s">
        <v>110</v>
      </c>
      <c r="F53" s="252"/>
      <c r="G53" s="252"/>
      <c r="H53" s="344" t="s">
        <v>278</v>
      </c>
      <c r="I53" s="341" t="s">
        <v>427</v>
      </c>
      <c r="J53" s="342">
        <v>1</v>
      </c>
      <c r="K53" s="341" t="s">
        <v>429</v>
      </c>
      <c r="L53" s="341" t="s">
        <v>430</v>
      </c>
      <c r="M53" s="341" t="s">
        <v>431</v>
      </c>
      <c r="N53" s="341" t="s">
        <v>434</v>
      </c>
      <c r="O53" s="341" t="s">
        <v>432</v>
      </c>
      <c r="P53" s="341">
        <v>20</v>
      </c>
      <c r="Q53" s="341" t="s">
        <v>435</v>
      </c>
      <c r="R53" s="341">
        <v>20</v>
      </c>
      <c r="S53" s="341">
        <v>1</v>
      </c>
      <c r="T53" s="341" t="s">
        <v>438</v>
      </c>
      <c r="U53" s="341">
        <v>1</v>
      </c>
      <c r="V53" s="341" t="s">
        <v>540</v>
      </c>
      <c r="W53" s="341" t="s">
        <v>541</v>
      </c>
      <c r="X53" s="341" t="s">
        <v>542</v>
      </c>
      <c r="Y53" s="341" t="s">
        <v>490</v>
      </c>
      <c r="Z53" s="293" t="s">
        <v>542</v>
      </c>
      <c r="AA53" s="293" t="s">
        <v>543</v>
      </c>
      <c r="AB53" s="341" t="s">
        <v>439</v>
      </c>
      <c r="AC53" s="341">
        <v>6</v>
      </c>
      <c r="AD53" s="341" t="s">
        <v>440</v>
      </c>
      <c r="AE53" s="301">
        <v>2</v>
      </c>
      <c r="AF53" s="345" t="s">
        <v>464</v>
      </c>
    </row>
    <row r="54" spans="2:32">
      <c r="B54" s="446" t="s">
        <v>104</v>
      </c>
      <c r="C54" s="447" t="s">
        <v>107</v>
      </c>
      <c r="D54" s="447" t="s">
        <v>95</v>
      </c>
      <c r="E54" s="449" t="s">
        <v>111</v>
      </c>
      <c r="F54" s="252"/>
      <c r="G54" s="252"/>
      <c r="H54" s="340" t="s">
        <v>132</v>
      </c>
      <c r="I54" s="341" t="s">
        <v>427</v>
      </c>
      <c r="J54" s="342">
        <v>2</v>
      </c>
      <c r="K54" s="341" t="s">
        <v>429</v>
      </c>
      <c r="L54" s="341" t="s">
        <v>442</v>
      </c>
      <c r="M54" s="341" t="s">
        <v>431</v>
      </c>
      <c r="N54" s="341">
        <v>0.15</v>
      </c>
      <c r="O54" s="341" t="s">
        <v>443</v>
      </c>
      <c r="P54" s="341">
        <v>20</v>
      </c>
      <c r="Q54" s="341" t="s">
        <v>435</v>
      </c>
      <c r="R54" s="341">
        <v>20</v>
      </c>
      <c r="S54" s="341">
        <v>1</v>
      </c>
      <c r="T54" s="341" t="s">
        <v>444</v>
      </c>
      <c r="U54" s="341">
        <v>1</v>
      </c>
      <c r="V54" s="341" t="s">
        <v>478</v>
      </c>
      <c r="W54" s="341" t="s">
        <v>488</v>
      </c>
      <c r="X54" s="293" t="s">
        <v>491</v>
      </c>
      <c r="Y54" s="293" t="s">
        <v>490</v>
      </c>
      <c r="Z54" s="293">
        <v>5</v>
      </c>
      <c r="AA54" s="293" t="s">
        <v>489</v>
      </c>
      <c r="AB54" s="341" t="s">
        <v>439</v>
      </c>
      <c r="AC54" s="341">
        <v>3</v>
      </c>
      <c r="AD54" s="341" t="s">
        <v>440</v>
      </c>
      <c r="AE54" s="301">
        <v>2</v>
      </c>
      <c r="AF54" s="345" t="s">
        <v>464</v>
      </c>
    </row>
    <row r="55" spans="2:32">
      <c r="B55" s="446" t="s">
        <v>303</v>
      </c>
      <c r="C55" s="447" t="s">
        <v>107</v>
      </c>
      <c r="D55" s="447" t="s">
        <v>95</v>
      </c>
      <c r="E55" s="449" t="s">
        <v>112</v>
      </c>
      <c r="F55" s="252"/>
      <c r="G55" s="252"/>
      <c r="H55" s="340" t="s">
        <v>133</v>
      </c>
      <c r="I55" s="341" t="s">
        <v>427</v>
      </c>
      <c r="J55" s="342">
        <v>2</v>
      </c>
      <c r="K55" s="341" t="s">
        <v>429</v>
      </c>
      <c r="L55" s="341" t="s">
        <v>442</v>
      </c>
      <c r="M55" s="341" t="s">
        <v>431</v>
      </c>
      <c r="N55" s="341">
        <v>0.15</v>
      </c>
      <c r="O55" s="341" t="s">
        <v>443</v>
      </c>
      <c r="P55" s="341">
        <v>20</v>
      </c>
      <c r="Q55" s="341" t="s">
        <v>435</v>
      </c>
      <c r="R55" s="341">
        <v>20</v>
      </c>
      <c r="S55" s="341">
        <v>1</v>
      </c>
      <c r="T55" s="341" t="s">
        <v>444</v>
      </c>
      <c r="U55" s="341">
        <v>1</v>
      </c>
      <c r="V55" s="341" t="s">
        <v>478</v>
      </c>
      <c r="W55" s="341" t="s">
        <v>488</v>
      </c>
      <c r="X55" s="293" t="s">
        <v>491</v>
      </c>
      <c r="Y55" s="293" t="s">
        <v>490</v>
      </c>
      <c r="Z55" s="293">
        <v>5</v>
      </c>
      <c r="AA55" s="293" t="s">
        <v>489</v>
      </c>
      <c r="AB55" s="341" t="s">
        <v>439</v>
      </c>
      <c r="AC55" s="341">
        <v>3</v>
      </c>
      <c r="AD55" s="341" t="s">
        <v>440</v>
      </c>
      <c r="AE55" s="301">
        <v>2</v>
      </c>
      <c r="AF55" s="345" t="s">
        <v>464</v>
      </c>
    </row>
    <row r="56" spans="2:32">
      <c r="B56" s="446" t="s">
        <v>105</v>
      </c>
      <c r="C56" s="447" t="s">
        <v>107</v>
      </c>
      <c r="D56" s="447" t="s">
        <v>95</v>
      </c>
      <c r="E56" s="449" t="s">
        <v>302</v>
      </c>
      <c r="F56" s="252"/>
      <c r="G56" s="252"/>
      <c r="H56" s="340" t="s">
        <v>134</v>
      </c>
      <c r="I56" s="341" t="s">
        <v>427</v>
      </c>
      <c r="J56" s="342">
        <v>2</v>
      </c>
      <c r="K56" s="341" t="s">
        <v>429</v>
      </c>
      <c r="L56" s="341" t="s">
        <v>442</v>
      </c>
      <c r="M56" s="341" t="s">
        <v>431</v>
      </c>
      <c r="N56" s="341">
        <v>0.15</v>
      </c>
      <c r="O56" s="341" t="s">
        <v>443</v>
      </c>
      <c r="P56" s="341">
        <v>20</v>
      </c>
      <c r="Q56" s="341" t="s">
        <v>435</v>
      </c>
      <c r="R56" s="341">
        <v>20</v>
      </c>
      <c r="S56" s="341">
        <v>1</v>
      </c>
      <c r="T56" s="341" t="s">
        <v>444</v>
      </c>
      <c r="U56" s="341">
        <v>1</v>
      </c>
      <c r="V56" s="341" t="s">
        <v>478</v>
      </c>
      <c r="W56" s="341" t="s">
        <v>488</v>
      </c>
      <c r="X56" s="293" t="s">
        <v>491</v>
      </c>
      <c r="Y56" s="293" t="s">
        <v>490</v>
      </c>
      <c r="Z56" s="293">
        <v>5</v>
      </c>
      <c r="AA56" s="293" t="s">
        <v>489</v>
      </c>
      <c r="AB56" s="341" t="s">
        <v>439</v>
      </c>
      <c r="AC56" s="341">
        <v>3</v>
      </c>
      <c r="AD56" s="341" t="s">
        <v>440</v>
      </c>
      <c r="AE56" s="301">
        <v>2</v>
      </c>
      <c r="AF56" s="345" t="s">
        <v>464</v>
      </c>
    </row>
    <row r="57" spans="2:32">
      <c r="B57" s="446" t="s">
        <v>106</v>
      </c>
      <c r="C57" s="447" t="s">
        <v>107</v>
      </c>
      <c r="D57" s="447" t="s">
        <v>95</v>
      </c>
      <c r="E57" s="449" t="s">
        <v>301</v>
      </c>
      <c r="F57" s="252"/>
      <c r="G57" s="252"/>
      <c r="H57" s="340" t="s">
        <v>135</v>
      </c>
      <c r="I57" s="341" t="s">
        <v>427</v>
      </c>
      <c r="J57" s="342">
        <v>2</v>
      </c>
      <c r="K57" s="341" t="s">
        <v>429</v>
      </c>
      <c r="L57" s="341" t="s">
        <v>442</v>
      </c>
      <c r="M57" s="341" t="s">
        <v>431</v>
      </c>
      <c r="N57" s="341">
        <v>0.15</v>
      </c>
      <c r="O57" s="341" t="s">
        <v>443</v>
      </c>
      <c r="P57" s="341">
        <v>20</v>
      </c>
      <c r="Q57" s="341" t="s">
        <v>435</v>
      </c>
      <c r="R57" s="341">
        <v>20</v>
      </c>
      <c r="S57" s="341">
        <v>1</v>
      </c>
      <c r="T57" s="341" t="s">
        <v>444</v>
      </c>
      <c r="U57" s="341">
        <v>1</v>
      </c>
      <c r="V57" s="341" t="s">
        <v>478</v>
      </c>
      <c r="W57" s="341" t="s">
        <v>488</v>
      </c>
      <c r="X57" s="293" t="s">
        <v>491</v>
      </c>
      <c r="Y57" s="293" t="s">
        <v>490</v>
      </c>
      <c r="Z57" s="293">
        <v>5</v>
      </c>
      <c r="AA57" s="293" t="s">
        <v>489</v>
      </c>
      <c r="AB57" s="341" t="s">
        <v>439</v>
      </c>
      <c r="AC57" s="341">
        <v>3</v>
      </c>
      <c r="AD57" s="341" t="s">
        <v>440</v>
      </c>
      <c r="AE57" s="301">
        <v>2</v>
      </c>
      <c r="AF57" s="345" t="s">
        <v>464</v>
      </c>
    </row>
    <row r="58" spans="2:32">
      <c r="B58" s="446" t="s">
        <v>158</v>
      </c>
      <c r="C58" s="447" t="s">
        <v>107</v>
      </c>
      <c r="D58" s="447" t="s">
        <v>95</v>
      </c>
      <c r="E58" s="114" t="s">
        <v>160</v>
      </c>
      <c r="F58" s="247"/>
      <c r="G58" s="247"/>
      <c r="H58" s="340" t="s">
        <v>136</v>
      </c>
      <c r="I58" s="341" t="s">
        <v>427</v>
      </c>
      <c r="J58" s="342">
        <v>2</v>
      </c>
      <c r="K58" s="341" t="s">
        <v>429</v>
      </c>
      <c r="L58" s="341" t="s">
        <v>442</v>
      </c>
      <c r="M58" s="341" t="s">
        <v>431</v>
      </c>
      <c r="N58" s="341">
        <v>0.15</v>
      </c>
      <c r="O58" s="341" t="s">
        <v>443</v>
      </c>
      <c r="P58" s="341">
        <v>20</v>
      </c>
      <c r="Q58" s="341" t="s">
        <v>435</v>
      </c>
      <c r="R58" s="341">
        <v>20</v>
      </c>
      <c r="S58" s="341">
        <v>1</v>
      </c>
      <c r="T58" s="341" t="s">
        <v>444</v>
      </c>
      <c r="U58" s="341">
        <v>1</v>
      </c>
      <c r="V58" s="341" t="s">
        <v>478</v>
      </c>
      <c r="W58" s="341" t="s">
        <v>488</v>
      </c>
      <c r="X58" s="293" t="s">
        <v>491</v>
      </c>
      <c r="Y58" s="293" t="s">
        <v>490</v>
      </c>
      <c r="Z58" s="293">
        <v>5</v>
      </c>
      <c r="AA58" s="293" t="s">
        <v>489</v>
      </c>
      <c r="AB58" s="341" t="s">
        <v>439</v>
      </c>
      <c r="AC58" s="341">
        <v>3</v>
      </c>
      <c r="AD58" s="341" t="s">
        <v>440</v>
      </c>
      <c r="AE58" s="301">
        <v>2</v>
      </c>
      <c r="AF58" s="346" t="s">
        <v>464</v>
      </c>
    </row>
    <row r="59" spans="2:32">
      <c r="B59" s="108" t="s">
        <v>159</v>
      </c>
      <c r="C59" s="447" t="s">
        <v>107</v>
      </c>
      <c r="D59" s="447" t="s">
        <v>95</v>
      </c>
      <c r="E59" s="115" t="s">
        <v>161</v>
      </c>
      <c r="F59" s="247"/>
      <c r="G59" s="247"/>
      <c r="H59" s="340" t="s">
        <v>137</v>
      </c>
      <c r="I59" s="341" t="s">
        <v>427</v>
      </c>
      <c r="J59" s="342">
        <v>2</v>
      </c>
      <c r="K59" s="341" t="s">
        <v>429</v>
      </c>
      <c r="L59" s="341" t="s">
        <v>442</v>
      </c>
      <c r="M59" s="341" t="s">
        <v>431</v>
      </c>
      <c r="N59" s="341">
        <v>0.15</v>
      </c>
      <c r="O59" s="341" t="s">
        <v>443</v>
      </c>
      <c r="P59" s="341">
        <v>20</v>
      </c>
      <c r="Q59" s="341" t="s">
        <v>435</v>
      </c>
      <c r="R59" s="341">
        <v>20</v>
      </c>
      <c r="S59" s="341">
        <v>1</v>
      </c>
      <c r="T59" s="341" t="s">
        <v>444</v>
      </c>
      <c r="U59" s="341">
        <v>1</v>
      </c>
      <c r="V59" s="341" t="s">
        <v>478</v>
      </c>
      <c r="W59" s="341" t="s">
        <v>488</v>
      </c>
      <c r="X59" s="293" t="s">
        <v>491</v>
      </c>
      <c r="Y59" s="293" t="s">
        <v>490</v>
      </c>
      <c r="Z59" s="293">
        <v>5</v>
      </c>
      <c r="AA59" s="293" t="s">
        <v>489</v>
      </c>
      <c r="AB59" s="341" t="s">
        <v>439</v>
      </c>
      <c r="AC59" s="341">
        <v>3</v>
      </c>
      <c r="AD59" s="341" t="s">
        <v>440</v>
      </c>
      <c r="AE59" s="301">
        <v>2</v>
      </c>
      <c r="AF59" s="346" t="s">
        <v>464</v>
      </c>
    </row>
    <row r="60" spans="2:32">
      <c r="B60" s="446" t="s">
        <v>147</v>
      </c>
      <c r="C60" s="447" t="s">
        <v>113</v>
      </c>
      <c r="D60" s="447" t="s">
        <v>85</v>
      </c>
      <c r="E60" s="449" t="s">
        <v>114</v>
      </c>
      <c r="F60" s="252"/>
      <c r="G60" s="252"/>
      <c r="H60" s="340" t="s">
        <v>97</v>
      </c>
      <c r="I60" s="341" t="s">
        <v>427</v>
      </c>
      <c r="J60" s="342">
        <v>2</v>
      </c>
      <c r="K60" s="341" t="s">
        <v>429</v>
      </c>
      <c r="L60" s="341" t="s">
        <v>442</v>
      </c>
      <c r="M60" s="341" t="s">
        <v>431</v>
      </c>
      <c r="N60" s="341">
        <v>0.15</v>
      </c>
      <c r="O60" s="341" t="s">
        <v>443</v>
      </c>
      <c r="P60" s="341">
        <v>20</v>
      </c>
      <c r="Q60" s="341" t="s">
        <v>435</v>
      </c>
      <c r="R60" s="341">
        <v>20</v>
      </c>
      <c r="S60" s="341">
        <v>1</v>
      </c>
      <c r="T60" s="341" t="s">
        <v>444</v>
      </c>
      <c r="U60" s="341">
        <v>1</v>
      </c>
      <c r="V60" s="341" t="s">
        <v>478</v>
      </c>
      <c r="W60" s="341" t="s">
        <v>488</v>
      </c>
      <c r="X60" s="293" t="s">
        <v>491</v>
      </c>
      <c r="Y60" s="293" t="s">
        <v>490</v>
      </c>
      <c r="Z60" s="293">
        <v>5</v>
      </c>
      <c r="AA60" s="293" t="s">
        <v>489</v>
      </c>
      <c r="AB60" s="341" t="s">
        <v>439</v>
      </c>
      <c r="AC60" s="341">
        <v>3</v>
      </c>
      <c r="AD60" s="341" t="s">
        <v>440</v>
      </c>
      <c r="AE60" s="301">
        <v>2</v>
      </c>
      <c r="AF60" s="345" t="s">
        <v>464</v>
      </c>
    </row>
    <row r="61" spans="2:32">
      <c r="B61" s="446" t="s">
        <v>148</v>
      </c>
      <c r="C61" s="447" t="s">
        <v>113</v>
      </c>
      <c r="D61" s="447" t="s">
        <v>85</v>
      </c>
      <c r="E61" s="449" t="s">
        <v>115</v>
      </c>
      <c r="F61" s="252"/>
      <c r="G61" s="252"/>
      <c r="H61" s="340" t="s">
        <v>104</v>
      </c>
      <c r="I61" s="341" t="s">
        <v>427</v>
      </c>
      <c r="J61" s="342">
        <v>2</v>
      </c>
      <c r="K61" s="341" t="s">
        <v>429</v>
      </c>
      <c r="L61" s="341" t="s">
        <v>442</v>
      </c>
      <c r="M61" s="341" t="s">
        <v>431</v>
      </c>
      <c r="N61" s="341">
        <v>0.15</v>
      </c>
      <c r="O61" s="341" t="s">
        <v>443</v>
      </c>
      <c r="P61" s="341">
        <v>20</v>
      </c>
      <c r="Q61" s="341" t="s">
        <v>435</v>
      </c>
      <c r="R61" s="341">
        <v>20</v>
      </c>
      <c r="S61" s="341">
        <v>1</v>
      </c>
      <c r="T61" s="341" t="s">
        <v>444</v>
      </c>
      <c r="U61" s="341">
        <v>1</v>
      </c>
      <c r="V61" s="341" t="s">
        <v>478</v>
      </c>
      <c r="W61" s="341" t="s">
        <v>488</v>
      </c>
      <c r="X61" s="293" t="s">
        <v>491</v>
      </c>
      <c r="Y61" s="293" t="s">
        <v>490</v>
      </c>
      <c r="Z61" s="293">
        <v>5</v>
      </c>
      <c r="AA61" s="293" t="s">
        <v>489</v>
      </c>
      <c r="AB61" s="341" t="s">
        <v>439</v>
      </c>
      <c r="AC61" s="341">
        <v>3</v>
      </c>
      <c r="AD61" s="341" t="s">
        <v>440</v>
      </c>
      <c r="AE61" s="301">
        <v>2</v>
      </c>
      <c r="AF61" s="345" t="s">
        <v>464</v>
      </c>
    </row>
    <row r="62" spans="2:32">
      <c r="B62" s="446" t="s">
        <v>149</v>
      </c>
      <c r="C62" s="447" t="s">
        <v>113</v>
      </c>
      <c r="D62" s="447" t="s">
        <v>85</v>
      </c>
      <c r="E62" s="449" t="s">
        <v>116</v>
      </c>
      <c r="F62" s="252"/>
      <c r="G62" s="252"/>
      <c r="H62" s="340" t="s">
        <v>303</v>
      </c>
      <c r="I62" s="341" t="s">
        <v>427</v>
      </c>
      <c r="J62" s="342">
        <v>2</v>
      </c>
      <c r="K62" s="341" t="s">
        <v>429</v>
      </c>
      <c r="L62" s="341" t="s">
        <v>442</v>
      </c>
      <c r="M62" s="341" t="s">
        <v>431</v>
      </c>
      <c r="N62" s="341">
        <v>0.15</v>
      </c>
      <c r="O62" s="341" t="s">
        <v>443</v>
      </c>
      <c r="P62" s="341">
        <v>20</v>
      </c>
      <c r="Q62" s="341" t="s">
        <v>435</v>
      </c>
      <c r="R62" s="341">
        <v>20</v>
      </c>
      <c r="S62" s="341">
        <v>1</v>
      </c>
      <c r="T62" s="341" t="s">
        <v>444</v>
      </c>
      <c r="U62" s="341">
        <v>1</v>
      </c>
      <c r="V62" s="341" t="s">
        <v>478</v>
      </c>
      <c r="W62" s="341" t="s">
        <v>488</v>
      </c>
      <c r="X62" s="293" t="s">
        <v>491</v>
      </c>
      <c r="Y62" s="293" t="s">
        <v>490</v>
      </c>
      <c r="Z62" s="293">
        <v>5</v>
      </c>
      <c r="AA62" s="293" t="s">
        <v>489</v>
      </c>
      <c r="AB62" s="341" t="s">
        <v>439</v>
      </c>
      <c r="AC62" s="341">
        <v>3</v>
      </c>
      <c r="AD62" s="341" t="s">
        <v>440</v>
      </c>
      <c r="AE62" s="301">
        <v>2</v>
      </c>
      <c r="AF62" s="345" t="s">
        <v>464</v>
      </c>
    </row>
    <row r="63" spans="2:32">
      <c r="B63" s="446" t="s">
        <v>300</v>
      </c>
      <c r="C63" s="447" t="s">
        <v>113</v>
      </c>
      <c r="D63" s="447" t="s">
        <v>85</v>
      </c>
      <c r="E63" s="449">
        <v>180</v>
      </c>
      <c r="F63" s="252"/>
      <c r="G63" s="252"/>
      <c r="H63" s="340" t="s">
        <v>119</v>
      </c>
      <c r="I63" s="341" t="s">
        <v>427</v>
      </c>
      <c r="J63" s="341">
        <v>2.5</v>
      </c>
      <c r="K63" s="341" t="s">
        <v>429</v>
      </c>
      <c r="L63" s="341" t="s">
        <v>429</v>
      </c>
      <c r="M63" s="341" t="s">
        <v>445</v>
      </c>
      <c r="N63" s="341">
        <v>0.18</v>
      </c>
      <c r="O63" s="341" t="s">
        <v>443</v>
      </c>
      <c r="P63" s="341">
        <v>50</v>
      </c>
      <c r="Q63" s="341" t="s">
        <v>435</v>
      </c>
      <c r="R63" s="341">
        <v>20</v>
      </c>
      <c r="S63" s="341">
        <v>1</v>
      </c>
      <c r="T63" s="341" t="s">
        <v>444</v>
      </c>
      <c r="U63" s="341">
        <v>1</v>
      </c>
      <c r="V63" s="341" t="s">
        <v>478</v>
      </c>
      <c r="W63" s="341" t="s">
        <v>488</v>
      </c>
      <c r="X63" s="293" t="s">
        <v>491</v>
      </c>
      <c r="Y63" s="293" t="s">
        <v>490</v>
      </c>
      <c r="Z63" s="293">
        <v>5</v>
      </c>
      <c r="AA63" s="293" t="s">
        <v>489</v>
      </c>
      <c r="AB63" s="341" t="s">
        <v>439</v>
      </c>
      <c r="AC63" s="341">
        <v>3</v>
      </c>
      <c r="AD63" s="341" t="s">
        <v>440</v>
      </c>
      <c r="AE63" s="301">
        <v>2</v>
      </c>
      <c r="AF63" s="345" t="s">
        <v>464</v>
      </c>
    </row>
    <row r="64" spans="2:32">
      <c r="B64" s="446" t="s">
        <v>157</v>
      </c>
      <c r="C64" s="447" t="s">
        <v>113</v>
      </c>
      <c r="D64" s="447" t="s">
        <v>85</v>
      </c>
      <c r="E64" s="449">
        <v>120</v>
      </c>
      <c r="F64" s="252"/>
      <c r="G64" s="252"/>
      <c r="H64" s="340" t="s">
        <v>81</v>
      </c>
      <c r="I64" s="341" t="s">
        <v>427</v>
      </c>
      <c r="J64" s="341">
        <v>2.5</v>
      </c>
      <c r="K64" s="341" t="s">
        <v>429</v>
      </c>
      <c r="L64" s="341" t="s">
        <v>429</v>
      </c>
      <c r="M64" s="341" t="s">
        <v>445</v>
      </c>
      <c r="N64" s="341">
        <v>0.18</v>
      </c>
      <c r="O64" s="341" t="s">
        <v>443</v>
      </c>
      <c r="P64" s="341">
        <v>50</v>
      </c>
      <c r="Q64" s="341" t="s">
        <v>435</v>
      </c>
      <c r="R64" s="341">
        <v>20</v>
      </c>
      <c r="S64" s="341">
        <v>1</v>
      </c>
      <c r="T64" s="341" t="s">
        <v>444</v>
      </c>
      <c r="U64" s="341">
        <v>1</v>
      </c>
      <c r="V64" s="341" t="s">
        <v>478</v>
      </c>
      <c r="W64" s="341" t="s">
        <v>488</v>
      </c>
      <c r="X64" s="293" t="s">
        <v>491</v>
      </c>
      <c r="Y64" s="293" t="s">
        <v>490</v>
      </c>
      <c r="Z64" s="293">
        <v>5</v>
      </c>
      <c r="AA64" s="293" t="s">
        <v>489</v>
      </c>
      <c r="AB64" s="341" t="s">
        <v>439</v>
      </c>
      <c r="AC64" s="341">
        <v>3</v>
      </c>
      <c r="AD64" s="341" t="s">
        <v>440</v>
      </c>
      <c r="AE64" s="301">
        <v>2</v>
      </c>
      <c r="AF64" s="345" t="s">
        <v>464</v>
      </c>
    </row>
    <row r="65" spans="2:32">
      <c r="B65" s="446" t="s">
        <v>117</v>
      </c>
      <c r="C65" s="447" t="s">
        <v>118</v>
      </c>
      <c r="D65" s="447" t="s">
        <v>95</v>
      </c>
      <c r="E65" s="449">
        <v>80</v>
      </c>
      <c r="F65" s="252"/>
      <c r="G65" s="252"/>
      <c r="H65" s="347" t="s">
        <v>122</v>
      </c>
      <c r="I65" s="341" t="s">
        <v>427</v>
      </c>
      <c r="J65" s="341">
        <v>2.5</v>
      </c>
      <c r="K65" s="341" t="s">
        <v>429</v>
      </c>
      <c r="L65" s="341" t="s">
        <v>429</v>
      </c>
      <c r="M65" s="341" t="s">
        <v>445</v>
      </c>
      <c r="N65" s="341">
        <v>0.18</v>
      </c>
      <c r="O65" s="341" t="s">
        <v>443</v>
      </c>
      <c r="P65" s="341">
        <v>50</v>
      </c>
      <c r="Q65" s="341" t="s">
        <v>435</v>
      </c>
      <c r="R65" s="341">
        <v>20</v>
      </c>
      <c r="S65" s="341">
        <v>1</v>
      </c>
      <c r="T65" s="341" t="s">
        <v>444</v>
      </c>
      <c r="U65" s="341">
        <v>1</v>
      </c>
      <c r="V65" s="341" t="s">
        <v>478</v>
      </c>
      <c r="W65" s="341" t="s">
        <v>488</v>
      </c>
      <c r="X65" s="293" t="s">
        <v>491</v>
      </c>
      <c r="Y65" s="293" t="s">
        <v>490</v>
      </c>
      <c r="Z65" s="293">
        <v>5</v>
      </c>
      <c r="AA65" s="293" t="s">
        <v>489</v>
      </c>
      <c r="AB65" s="341" t="s">
        <v>439</v>
      </c>
      <c r="AC65" s="341">
        <v>3</v>
      </c>
      <c r="AD65" s="341" t="s">
        <v>440</v>
      </c>
      <c r="AE65" s="301">
        <v>2</v>
      </c>
      <c r="AF65" s="345" t="s">
        <v>464</v>
      </c>
    </row>
    <row r="66" spans="2:32">
      <c r="B66" s="446" t="s">
        <v>119</v>
      </c>
      <c r="C66" s="444" t="s">
        <v>121</v>
      </c>
      <c r="D66" s="444" t="s">
        <v>85</v>
      </c>
      <c r="E66" s="448">
        <v>210</v>
      </c>
      <c r="F66" s="251"/>
      <c r="G66" s="251"/>
      <c r="H66" s="347" t="s">
        <v>299</v>
      </c>
      <c r="I66" s="341" t="s">
        <v>427</v>
      </c>
      <c r="J66" s="341">
        <v>2.5</v>
      </c>
      <c r="K66" s="341" t="s">
        <v>429</v>
      </c>
      <c r="L66" s="341" t="s">
        <v>429</v>
      </c>
      <c r="M66" s="341" t="s">
        <v>445</v>
      </c>
      <c r="N66" s="341">
        <v>0.18</v>
      </c>
      <c r="O66" s="341" t="s">
        <v>443</v>
      </c>
      <c r="P66" s="341">
        <v>50</v>
      </c>
      <c r="Q66" s="341" t="s">
        <v>435</v>
      </c>
      <c r="R66" s="341">
        <v>20</v>
      </c>
      <c r="S66" s="341">
        <v>1</v>
      </c>
      <c r="T66" s="341" t="s">
        <v>444</v>
      </c>
      <c r="U66" s="341">
        <v>1</v>
      </c>
      <c r="V66" s="341" t="s">
        <v>478</v>
      </c>
      <c r="W66" s="341" t="s">
        <v>488</v>
      </c>
      <c r="X66" s="293" t="s">
        <v>491</v>
      </c>
      <c r="Y66" s="293" t="s">
        <v>490</v>
      </c>
      <c r="Z66" s="293">
        <v>5</v>
      </c>
      <c r="AA66" s="293" t="s">
        <v>489</v>
      </c>
      <c r="AB66" s="341" t="s">
        <v>439</v>
      </c>
      <c r="AC66" s="341">
        <v>3</v>
      </c>
      <c r="AD66" s="341" t="s">
        <v>440</v>
      </c>
      <c r="AE66" s="301">
        <v>2</v>
      </c>
      <c r="AF66" s="343" t="s">
        <v>464</v>
      </c>
    </row>
    <row r="67" spans="2:32">
      <c r="B67" s="446" t="s">
        <v>120</v>
      </c>
      <c r="C67" s="444" t="s">
        <v>121</v>
      </c>
      <c r="D67" s="444" t="s">
        <v>85</v>
      </c>
      <c r="E67" s="448">
        <v>140</v>
      </c>
      <c r="F67" s="251"/>
      <c r="G67" s="251"/>
      <c r="H67" s="347" t="s">
        <v>123</v>
      </c>
      <c r="I67" s="341" t="s">
        <v>427</v>
      </c>
      <c r="J67" s="341">
        <v>2.5</v>
      </c>
      <c r="K67" s="341" t="s">
        <v>429</v>
      </c>
      <c r="L67" s="341" t="s">
        <v>429</v>
      </c>
      <c r="M67" s="341" t="s">
        <v>445</v>
      </c>
      <c r="N67" s="341">
        <v>0.18</v>
      </c>
      <c r="O67" s="341" t="s">
        <v>443</v>
      </c>
      <c r="P67" s="341">
        <v>50</v>
      </c>
      <c r="Q67" s="341" t="s">
        <v>435</v>
      </c>
      <c r="R67" s="341">
        <v>20</v>
      </c>
      <c r="S67" s="341">
        <v>1</v>
      </c>
      <c r="T67" s="341" t="s">
        <v>444</v>
      </c>
      <c r="U67" s="341">
        <v>1</v>
      </c>
      <c r="V67" s="341" t="s">
        <v>478</v>
      </c>
      <c r="W67" s="341" t="s">
        <v>488</v>
      </c>
      <c r="X67" s="293" t="s">
        <v>491</v>
      </c>
      <c r="Y67" s="293" t="s">
        <v>490</v>
      </c>
      <c r="Z67" s="293">
        <v>5</v>
      </c>
      <c r="AA67" s="293" t="s">
        <v>489</v>
      </c>
      <c r="AB67" s="341" t="s">
        <v>439</v>
      </c>
      <c r="AC67" s="341">
        <v>3</v>
      </c>
      <c r="AD67" s="341" t="s">
        <v>440</v>
      </c>
      <c r="AE67" s="301">
        <v>2</v>
      </c>
      <c r="AF67" s="343" t="s">
        <v>464</v>
      </c>
    </row>
    <row r="68" spans="2:32">
      <c r="B68" s="450" t="s">
        <v>122</v>
      </c>
      <c r="C68" s="444" t="s">
        <v>121</v>
      </c>
      <c r="D68" s="444" t="s">
        <v>85</v>
      </c>
      <c r="E68" s="449">
        <v>70</v>
      </c>
      <c r="F68" s="252"/>
      <c r="G68" s="252"/>
      <c r="H68" s="344" t="s">
        <v>276</v>
      </c>
      <c r="I68" s="341" t="s">
        <v>427</v>
      </c>
      <c r="J68" s="341">
        <v>2.5</v>
      </c>
      <c r="K68" s="341" t="s">
        <v>429</v>
      </c>
      <c r="L68" s="341" t="s">
        <v>429</v>
      </c>
      <c r="M68" s="341" t="s">
        <v>445</v>
      </c>
      <c r="N68" s="341">
        <v>0.18</v>
      </c>
      <c r="O68" s="341" t="s">
        <v>443</v>
      </c>
      <c r="P68" s="341">
        <v>50</v>
      </c>
      <c r="Q68" s="341" t="s">
        <v>435</v>
      </c>
      <c r="R68" s="341">
        <v>20</v>
      </c>
      <c r="S68" s="341">
        <v>1</v>
      </c>
      <c r="T68" s="341" t="s">
        <v>444</v>
      </c>
      <c r="U68" s="341">
        <v>1</v>
      </c>
      <c r="V68" s="341" t="s">
        <v>478</v>
      </c>
      <c r="W68" s="341" t="s">
        <v>488</v>
      </c>
      <c r="X68" s="293" t="s">
        <v>491</v>
      </c>
      <c r="Y68" s="293" t="s">
        <v>490</v>
      </c>
      <c r="Z68" s="293">
        <v>5</v>
      </c>
      <c r="AA68" s="293" t="s">
        <v>489</v>
      </c>
      <c r="AB68" s="341" t="s">
        <v>439</v>
      </c>
      <c r="AC68" s="341">
        <v>3</v>
      </c>
      <c r="AD68" s="341" t="s">
        <v>440</v>
      </c>
      <c r="AE68" s="301">
        <v>2</v>
      </c>
      <c r="AF68" s="345" t="s">
        <v>464</v>
      </c>
    </row>
    <row r="69" spans="2:32">
      <c r="B69" s="450" t="s">
        <v>299</v>
      </c>
      <c r="C69" s="444" t="s">
        <v>121</v>
      </c>
      <c r="D69" s="447" t="s">
        <v>95</v>
      </c>
      <c r="E69" s="449">
        <v>210</v>
      </c>
      <c r="F69" s="252"/>
      <c r="G69" s="252"/>
      <c r="H69" s="340" t="s">
        <v>96</v>
      </c>
      <c r="I69" s="341" t="s">
        <v>427</v>
      </c>
      <c r="J69" s="341">
        <v>2.5</v>
      </c>
      <c r="K69" s="341" t="s">
        <v>446</v>
      </c>
      <c r="L69" s="341" t="s">
        <v>429</v>
      </c>
      <c r="M69" s="341" t="s">
        <v>445</v>
      </c>
      <c r="N69" s="341">
        <v>0.24</v>
      </c>
      <c r="O69" s="341" t="s">
        <v>443</v>
      </c>
      <c r="P69" s="341">
        <v>50</v>
      </c>
      <c r="Q69" s="341" t="s">
        <v>435</v>
      </c>
      <c r="R69" s="341">
        <v>20</v>
      </c>
      <c r="S69" s="341">
        <v>1</v>
      </c>
      <c r="T69" s="341" t="s">
        <v>444</v>
      </c>
      <c r="U69" s="341">
        <v>1</v>
      </c>
      <c r="V69" s="341" t="s">
        <v>478</v>
      </c>
      <c r="W69" s="341" t="s">
        <v>488</v>
      </c>
      <c r="X69" s="293" t="s">
        <v>491</v>
      </c>
      <c r="Y69" s="293" t="s">
        <v>490</v>
      </c>
      <c r="Z69" s="293">
        <v>5</v>
      </c>
      <c r="AA69" s="293" t="s">
        <v>489</v>
      </c>
      <c r="AB69" s="341" t="s">
        <v>439</v>
      </c>
      <c r="AC69" s="341">
        <v>3</v>
      </c>
      <c r="AD69" s="341" t="s">
        <v>440</v>
      </c>
      <c r="AE69" s="301">
        <v>2</v>
      </c>
      <c r="AF69" s="345" t="s">
        <v>447</v>
      </c>
    </row>
    <row r="70" spans="2:32">
      <c r="B70" s="450" t="s">
        <v>123</v>
      </c>
      <c r="C70" s="444" t="s">
        <v>121</v>
      </c>
      <c r="D70" s="447" t="s">
        <v>95</v>
      </c>
      <c r="E70" s="449">
        <v>140</v>
      </c>
      <c r="F70" s="252"/>
      <c r="G70" s="252"/>
      <c r="H70" s="340" t="s">
        <v>97</v>
      </c>
      <c r="I70" s="341" t="s">
        <v>427</v>
      </c>
      <c r="J70" s="341">
        <v>2.5</v>
      </c>
      <c r="K70" s="341" t="s">
        <v>446</v>
      </c>
      <c r="L70" s="341" t="s">
        <v>429</v>
      </c>
      <c r="M70" s="341" t="s">
        <v>445</v>
      </c>
      <c r="N70" s="341">
        <v>0.24</v>
      </c>
      <c r="O70" s="341" t="s">
        <v>443</v>
      </c>
      <c r="P70" s="341">
        <v>50</v>
      </c>
      <c r="Q70" s="341" t="s">
        <v>435</v>
      </c>
      <c r="R70" s="341">
        <v>20</v>
      </c>
      <c r="S70" s="341">
        <v>1</v>
      </c>
      <c r="T70" s="341" t="s">
        <v>444</v>
      </c>
      <c r="U70" s="341">
        <v>1</v>
      </c>
      <c r="V70" s="341" t="s">
        <v>478</v>
      </c>
      <c r="W70" s="341" t="s">
        <v>488</v>
      </c>
      <c r="X70" s="293" t="s">
        <v>491</v>
      </c>
      <c r="Y70" s="293" t="s">
        <v>490</v>
      </c>
      <c r="Z70" s="293">
        <v>5</v>
      </c>
      <c r="AA70" s="293" t="s">
        <v>489</v>
      </c>
      <c r="AB70" s="341" t="s">
        <v>439</v>
      </c>
      <c r="AC70" s="341">
        <v>3</v>
      </c>
      <c r="AD70" s="341" t="s">
        <v>440</v>
      </c>
      <c r="AE70" s="301">
        <v>2</v>
      </c>
      <c r="AF70" s="345" t="s">
        <v>447</v>
      </c>
    </row>
    <row r="71" spans="2:32">
      <c r="B71" s="450" t="s">
        <v>150</v>
      </c>
      <c r="C71" s="444" t="s">
        <v>153</v>
      </c>
      <c r="D71" s="444" t="s">
        <v>95</v>
      </c>
      <c r="E71" s="449">
        <v>500</v>
      </c>
      <c r="F71" s="252"/>
      <c r="G71" s="252"/>
      <c r="H71" s="340" t="s">
        <v>98</v>
      </c>
      <c r="I71" s="341" t="s">
        <v>427</v>
      </c>
      <c r="J71" s="341">
        <v>2.5</v>
      </c>
      <c r="K71" s="341" t="s">
        <v>446</v>
      </c>
      <c r="L71" s="341" t="s">
        <v>429</v>
      </c>
      <c r="M71" s="341" t="s">
        <v>445</v>
      </c>
      <c r="N71" s="341">
        <v>0.24</v>
      </c>
      <c r="O71" s="341" t="s">
        <v>443</v>
      </c>
      <c r="P71" s="341">
        <v>50</v>
      </c>
      <c r="Q71" s="341" t="s">
        <v>435</v>
      </c>
      <c r="R71" s="341">
        <v>20</v>
      </c>
      <c r="S71" s="341">
        <v>1</v>
      </c>
      <c r="T71" s="341" t="s">
        <v>444</v>
      </c>
      <c r="U71" s="341">
        <v>1</v>
      </c>
      <c r="V71" s="341" t="s">
        <v>478</v>
      </c>
      <c r="W71" s="341" t="s">
        <v>488</v>
      </c>
      <c r="X71" s="293" t="s">
        <v>491</v>
      </c>
      <c r="Y71" s="293" t="s">
        <v>490</v>
      </c>
      <c r="Z71" s="293">
        <v>5</v>
      </c>
      <c r="AA71" s="293" t="s">
        <v>489</v>
      </c>
      <c r="AB71" s="341" t="s">
        <v>439</v>
      </c>
      <c r="AC71" s="341">
        <v>3</v>
      </c>
      <c r="AD71" s="341" t="s">
        <v>440</v>
      </c>
      <c r="AE71" s="301">
        <v>2</v>
      </c>
      <c r="AF71" s="345" t="s">
        <v>447</v>
      </c>
    </row>
    <row r="72" spans="2:32">
      <c r="B72" s="450" t="s">
        <v>298</v>
      </c>
      <c r="C72" s="444" t="s">
        <v>153</v>
      </c>
      <c r="D72" s="444" t="s">
        <v>95</v>
      </c>
      <c r="E72" s="449">
        <v>500</v>
      </c>
      <c r="F72" s="252"/>
      <c r="G72" s="252"/>
      <c r="H72" s="340" t="s">
        <v>311</v>
      </c>
      <c r="I72" s="341" t="s">
        <v>427</v>
      </c>
      <c r="J72" s="341">
        <v>1.5</v>
      </c>
      <c r="K72" s="341" t="s">
        <v>429</v>
      </c>
      <c r="L72" s="341" t="s">
        <v>450</v>
      </c>
      <c r="M72" s="341" t="s">
        <v>431</v>
      </c>
      <c r="N72" s="341" t="s">
        <v>434</v>
      </c>
      <c r="O72" s="341" t="s">
        <v>449</v>
      </c>
      <c r="P72" s="341">
        <v>20</v>
      </c>
      <c r="Q72" s="341" t="s">
        <v>435</v>
      </c>
      <c r="R72" s="341">
        <v>20</v>
      </c>
      <c r="S72" s="341">
        <v>1</v>
      </c>
      <c r="T72" s="341" t="s">
        <v>440</v>
      </c>
      <c r="U72" s="341">
        <v>1</v>
      </c>
      <c r="V72" s="341" t="s">
        <v>478</v>
      </c>
      <c r="W72" s="341" t="s">
        <v>488</v>
      </c>
      <c r="X72" s="293" t="s">
        <v>491</v>
      </c>
      <c r="Y72" s="293" t="s">
        <v>490</v>
      </c>
      <c r="Z72" s="293">
        <v>5</v>
      </c>
      <c r="AA72" s="293" t="s">
        <v>489</v>
      </c>
      <c r="AB72" s="341" t="s">
        <v>439</v>
      </c>
      <c r="AC72" s="341">
        <v>3</v>
      </c>
      <c r="AD72" s="341" t="s">
        <v>440</v>
      </c>
      <c r="AE72" s="301">
        <v>2</v>
      </c>
      <c r="AF72" s="345" t="s">
        <v>465</v>
      </c>
    </row>
    <row r="73" spans="2:32">
      <c r="B73" s="450" t="s">
        <v>151</v>
      </c>
      <c r="C73" s="444" t="s">
        <v>153</v>
      </c>
      <c r="D73" s="444" t="s">
        <v>95</v>
      </c>
      <c r="E73" s="449">
        <v>500</v>
      </c>
      <c r="F73" s="252"/>
      <c r="G73" s="252"/>
      <c r="H73" s="340" t="s">
        <v>138</v>
      </c>
      <c r="I73" s="341" t="s">
        <v>427</v>
      </c>
      <c r="J73" s="341">
        <v>1.5</v>
      </c>
      <c r="K73" s="341" t="s">
        <v>429</v>
      </c>
      <c r="L73" s="341" t="s">
        <v>450</v>
      </c>
      <c r="M73" s="341" t="s">
        <v>431</v>
      </c>
      <c r="N73" s="341" t="s">
        <v>434</v>
      </c>
      <c r="O73" s="341" t="s">
        <v>449</v>
      </c>
      <c r="P73" s="341">
        <v>20</v>
      </c>
      <c r="Q73" s="341" t="s">
        <v>435</v>
      </c>
      <c r="R73" s="341">
        <v>20</v>
      </c>
      <c r="S73" s="341">
        <v>1</v>
      </c>
      <c r="T73" s="341" t="s">
        <v>440</v>
      </c>
      <c r="U73" s="341">
        <v>1</v>
      </c>
      <c r="V73" s="341" t="s">
        <v>478</v>
      </c>
      <c r="W73" s="341" t="s">
        <v>488</v>
      </c>
      <c r="X73" s="293" t="s">
        <v>491</v>
      </c>
      <c r="Y73" s="293" t="s">
        <v>490</v>
      </c>
      <c r="Z73" s="293">
        <v>5</v>
      </c>
      <c r="AA73" s="293" t="s">
        <v>489</v>
      </c>
      <c r="AB73" s="341" t="s">
        <v>439</v>
      </c>
      <c r="AC73" s="341">
        <v>3</v>
      </c>
      <c r="AD73" s="341" t="s">
        <v>440</v>
      </c>
      <c r="AE73" s="301">
        <v>2</v>
      </c>
      <c r="AF73" s="345" t="s">
        <v>465</v>
      </c>
    </row>
    <row r="74" spans="2:32">
      <c r="B74" s="230" t="s">
        <v>152</v>
      </c>
      <c r="C74" s="229" t="s">
        <v>153</v>
      </c>
      <c r="D74" s="229" t="s">
        <v>95</v>
      </c>
      <c r="E74" s="228">
        <v>500</v>
      </c>
      <c r="F74" s="252"/>
      <c r="G74" s="252"/>
      <c r="H74" s="340" t="s">
        <v>86</v>
      </c>
      <c r="I74" s="341" t="s">
        <v>427</v>
      </c>
      <c r="J74" s="341">
        <v>1.5</v>
      </c>
      <c r="K74" s="341" t="s">
        <v>429</v>
      </c>
      <c r="L74" s="341" t="s">
        <v>450</v>
      </c>
      <c r="M74" s="341" t="s">
        <v>431</v>
      </c>
      <c r="N74" s="341" t="s">
        <v>434</v>
      </c>
      <c r="O74" s="341" t="s">
        <v>449</v>
      </c>
      <c r="P74" s="341">
        <v>20</v>
      </c>
      <c r="Q74" s="341" t="s">
        <v>435</v>
      </c>
      <c r="R74" s="341">
        <v>20</v>
      </c>
      <c r="S74" s="341">
        <v>1</v>
      </c>
      <c r="T74" s="341" t="s">
        <v>440</v>
      </c>
      <c r="U74" s="341">
        <v>1</v>
      </c>
      <c r="V74" s="341" t="s">
        <v>478</v>
      </c>
      <c r="W74" s="341" t="s">
        <v>488</v>
      </c>
      <c r="X74" s="293" t="s">
        <v>491</v>
      </c>
      <c r="Y74" s="293" t="s">
        <v>490</v>
      </c>
      <c r="Z74" s="293">
        <v>5</v>
      </c>
      <c r="AA74" s="293" t="s">
        <v>489</v>
      </c>
      <c r="AB74" s="341" t="s">
        <v>439</v>
      </c>
      <c r="AC74" s="341">
        <v>3</v>
      </c>
      <c r="AD74" s="341" t="s">
        <v>440</v>
      </c>
      <c r="AE74" s="301">
        <v>2</v>
      </c>
      <c r="AF74" s="345" t="s">
        <v>465</v>
      </c>
    </row>
    <row r="75" spans="2:32">
      <c r="B75" s="451" t="s">
        <v>297</v>
      </c>
      <c r="C75" s="443" t="s">
        <v>90</v>
      </c>
      <c r="D75" s="444" t="s">
        <v>274</v>
      </c>
      <c r="E75" s="452">
        <v>40</v>
      </c>
      <c r="F75" s="253"/>
      <c r="G75" s="253"/>
      <c r="H75" s="340" t="s">
        <v>87</v>
      </c>
      <c r="I75" s="341" t="s">
        <v>427</v>
      </c>
      <c r="J75" s="341">
        <v>1.5</v>
      </c>
      <c r="K75" s="341" t="s">
        <v>429</v>
      </c>
      <c r="L75" s="341" t="s">
        <v>450</v>
      </c>
      <c r="M75" s="341" t="s">
        <v>431</v>
      </c>
      <c r="N75" s="341" t="s">
        <v>434</v>
      </c>
      <c r="O75" s="341" t="s">
        <v>449</v>
      </c>
      <c r="P75" s="341">
        <v>20</v>
      </c>
      <c r="Q75" s="341" t="s">
        <v>435</v>
      </c>
      <c r="R75" s="341">
        <v>20</v>
      </c>
      <c r="S75" s="341">
        <v>1</v>
      </c>
      <c r="T75" s="341" t="s">
        <v>440</v>
      </c>
      <c r="U75" s="341">
        <v>1</v>
      </c>
      <c r="V75" s="341" t="s">
        <v>478</v>
      </c>
      <c r="W75" s="341" t="s">
        <v>488</v>
      </c>
      <c r="X75" s="293" t="s">
        <v>491</v>
      </c>
      <c r="Y75" s="293" t="s">
        <v>490</v>
      </c>
      <c r="Z75" s="293">
        <v>5</v>
      </c>
      <c r="AA75" s="293" t="s">
        <v>489</v>
      </c>
      <c r="AB75" s="341" t="s">
        <v>439</v>
      </c>
      <c r="AC75" s="341">
        <v>3</v>
      </c>
      <c r="AD75" s="341" t="s">
        <v>440</v>
      </c>
      <c r="AE75" s="301">
        <v>2</v>
      </c>
      <c r="AF75" s="348" t="s">
        <v>465</v>
      </c>
    </row>
    <row r="76" spans="2:32">
      <c r="B76" s="451" t="s">
        <v>296</v>
      </c>
      <c r="C76" s="443" t="s">
        <v>90</v>
      </c>
      <c r="D76" s="444" t="s">
        <v>274</v>
      </c>
      <c r="E76" s="452">
        <v>30</v>
      </c>
      <c r="F76" s="253"/>
      <c r="G76" s="253"/>
      <c r="H76" s="340" t="s">
        <v>88</v>
      </c>
      <c r="I76" s="341" t="s">
        <v>427</v>
      </c>
      <c r="J76" s="341">
        <v>1.5</v>
      </c>
      <c r="K76" s="341" t="s">
        <v>429</v>
      </c>
      <c r="L76" s="341" t="s">
        <v>450</v>
      </c>
      <c r="M76" s="341" t="s">
        <v>431</v>
      </c>
      <c r="N76" s="341" t="s">
        <v>434</v>
      </c>
      <c r="O76" s="341" t="s">
        <v>449</v>
      </c>
      <c r="P76" s="341">
        <v>20</v>
      </c>
      <c r="Q76" s="341" t="s">
        <v>435</v>
      </c>
      <c r="R76" s="341">
        <v>20</v>
      </c>
      <c r="S76" s="341">
        <v>1</v>
      </c>
      <c r="T76" s="341" t="s">
        <v>441</v>
      </c>
      <c r="U76" s="341">
        <v>1</v>
      </c>
      <c r="V76" s="341" t="s">
        <v>478</v>
      </c>
      <c r="W76" s="341" t="s">
        <v>488</v>
      </c>
      <c r="X76" s="293" t="s">
        <v>491</v>
      </c>
      <c r="Y76" s="293" t="s">
        <v>490</v>
      </c>
      <c r="Z76" s="293">
        <v>5</v>
      </c>
      <c r="AA76" s="293" t="s">
        <v>489</v>
      </c>
      <c r="AB76" s="341" t="s">
        <v>439</v>
      </c>
      <c r="AC76" s="341">
        <v>3</v>
      </c>
      <c r="AD76" s="341" t="s">
        <v>440</v>
      </c>
      <c r="AE76" s="301">
        <v>2</v>
      </c>
      <c r="AF76" s="348" t="s">
        <v>465</v>
      </c>
    </row>
    <row r="77" spans="2:32">
      <c r="B77" s="451" t="s">
        <v>295</v>
      </c>
      <c r="C77" s="443" t="s">
        <v>90</v>
      </c>
      <c r="D77" s="444" t="s">
        <v>274</v>
      </c>
      <c r="E77" s="452">
        <v>25</v>
      </c>
      <c r="F77" s="253"/>
      <c r="G77" s="253"/>
      <c r="H77" s="340" t="s">
        <v>139</v>
      </c>
      <c r="I77" s="341" t="s">
        <v>427</v>
      </c>
      <c r="J77" s="341">
        <v>1.5</v>
      </c>
      <c r="K77" s="341" t="s">
        <v>429</v>
      </c>
      <c r="L77" s="341" t="s">
        <v>450</v>
      </c>
      <c r="M77" s="341" t="s">
        <v>431</v>
      </c>
      <c r="N77" s="341" t="s">
        <v>434</v>
      </c>
      <c r="O77" s="341" t="s">
        <v>449</v>
      </c>
      <c r="P77" s="341">
        <v>20</v>
      </c>
      <c r="Q77" s="341" t="s">
        <v>435</v>
      </c>
      <c r="R77" s="341">
        <v>20</v>
      </c>
      <c r="S77" s="341">
        <v>1</v>
      </c>
      <c r="T77" s="341" t="s">
        <v>438</v>
      </c>
      <c r="U77" s="341">
        <v>1</v>
      </c>
      <c r="V77" s="341" t="s">
        <v>540</v>
      </c>
      <c r="W77" s="341" t="s">
        <v>541</v>
      </c>
      <c r="X77" s="341" t="s">
        <v>542</v>
      </c>
      <c r="Y77" s="341" t="s">
        <v>490</v>
      </c>
      <c r="Z77" s="293" t="s">
        <v>542</v>
      </c>
      <c r="AA77" s="293" t="s">
        <v>543</v>
      </c>
      <c r="AB77" s="341" t="s">
        <v>439</v>
      </c>
      <c r="AC77" s="341">
        <v>6</v>
      </c>
      <c r="AD77" s="341" t="s">
        <v>440</v>
      </c>
      <c r="AE77" s="301">
        <v>2</v>
      </c>
      <c r="AF77" s="348" t="s">
        <v>465</v>
      </c>
    </row>
    <row r="78" spans="2:32">
      <c r="B78" s="451" t="s">
        <v>294</v>
      </c>
      <c r="C78" s="443" t="s">
        <v>90</v>
      </c>
      <c r="D78" s="444" t="s">
        <v>274</v>
      </c>
      <c r="E78" s="452">
        <v>20</v>
      </c>
      <c r="F78" s="253"/>
      <c r="G78" s="253"/>
      <c r="H78" s="340" t="s">
        <v>89</v>
      </c>
      <c r="I78" s="341" t="s">
        <v>427</v>
      </c>
      <c r="J78" s="341">
        <v>1.5</v>
      </c>
      <c r="K78" s="341" t="s">
        <v>429</v>
      </c>
      <c r="L78" s="341" t="s">
        <v>450</v>
      </c>
      <c r="M78" s="341" t="s">
        <v>431</v>
      </c>
      <c r="N78" s="341" t="s">
        <v>434</v>
      </c>
      <c r="O78" s="341" t="s">
        <v>449</v>
      </c>
      <c r="P78" s="341">
        <v>20</v>
      </c>
      <c r="Q78" s="341" t="s">
        <v>435</v>
      </c>
      <c r="R78" s="341">
        <v>20</v>
      </c>
      <c r="S78" s="341">
        <v>1</v>
      </c>
      <c r="T78" s="341" t="s">
        <v>438</v>
      </c>
      <c r="U78" s="341">
        <v>1</v>
      </c>
      <c r="V78" s="341" t="s">
        <v>540</v>
      </c>
      <c r="W78" s="341" t="s">
        <v>541</v>
      </c>
      <c r="X78" s="341" t="s">
        <v>542</v>
      </c>
      <c r="Y78" s="341" t="s">
        <v>490</v>
      </c>
      <c r="Z78" s="293" t="s">
        <v>542</v>
      </c>
      <c r="AA78" s="293" t="s">
        <v>543</v>
      </c>
      <c r="AB78" s="341" t="s">
        <v>439</v>
      </c>
      <c r="AC78" s="341">
        <v>6</v>
      </c>
      <c r="AD78" s="341" t="s">
        <v>440</v>
      </c>
      <c r="AE78" s="301">
        <v>2</v>
      </c>
      <c r="AF78" s="348" t="s">
        <v>465</v>
      </c>
    </row>
    <row r="79" spans="2:32">
      <c r="B79" s="451" t="s">
        <v>293</v>
      </c>
      <c r="C79" s="443" t="s">
        <v>90</v>
      </c>
      <c r="D79" s="444" t="s">
        <v>274</v>
      </c>
      <c r="E79" s="452">
        <v>14</v>
      </c>
      <c r="F79" s="253"/>
      <c r="G79" s="253"/>
      <c r="H79" s="340" t="s">
        <v>140</v>
      </c>
      <c r="I79" s="341" t="s">
        <v>427</v>
      </c>
      <c r="J79" s="341">
        <v>1.5</v>
      </c>
      <c r="K79" s="341" t="s">
        <v>429</v>
      </c>
      <c r="L79" s="341" t="s">
        <v>450</v>
      </c>
      <c r="M79" s="341" t="s">
        <v>431</v>
      </c>
      <c r="N79" s="341" t="s">
        <v>434</v>
      </c>
      <c r="O79" s="341" t="s">
        <v>449</v>
      </c>
      <c r="P79" s="341">
        <v>20</v>
      </c>
      <c r="Q79" s="341" t="s">
        <v>435</v>
      </c>
      <c r="R79" s="341">
        <v>20</v>
      </c>
      <c r="S79" s="341">
        <v>1</v>
      </c>
      <c r="T79" s="341" t="s">
        <v>438</v>
      </c>
      <c r="U79" s="341">
        <v>1</v>
      </c>
      <c r="V79" s="341" t="s">
        <v>540</v>
      </c>
      <c r="W79" s="341" t="s">
        <v>541</v>
      </c>
      <c r="X79" s="341" t="s">
        <v>542</v>
      </c>
      <c r="Y79" s="341" t="s">
        <v>490</v>
      </c>
      <c r="Z79" s="293" t="s">
        <v>542</v>
      </c>
      <c r="AA79" s="293" t="s">
        <v>543</v>
      </c>
      <c r="AB79" s="341" t="s">
        <v>439</v>
      </c>
      <c r="AC79" s="341">
        <v>6</v>
      </c>
      <c r="AD79" s="341" t="s">
        <v>440</v>
      </c>
      <c r="AE79" s="301">
        <v>2</v>
      </c>
      <c r="AF79" s="348" t="s">
        <v>465</v>
      </c>
    </row>
    <row r="80" spans="2:32">
      <c r="B80" s="451" t="s">
        <v>292</v>
      </c>
      <c r="C80" s="443" t="s">
        <v>90</v>
      </c>
      <c r="D80" s="444" t="s">
        <v>274</v>
      </c>
      <c r="E80" s="452">
        <v>11.5</v>
      </c>
      <c r="F80" s="253"/>
      <c r="G80" s="253"/>
      <c r="H80" s="340" t="s">
        <v>141</v>
      </c>
      <c r="I80" s="341" t="s">
        <v>427</v>
      </c>
      <c r="J80" s="341">
        <v>1.5</v>
      </c>
      <c r="K80" s="341" t="s">
        <v>429</v>
      </c>
      <c r="L80" s="341" t="s">
        <v>450</v>
      </c>
      <c r="M80" s="341" t="s">
        <v>431</v>
      </c>
      <c r="N80" s="341" t="s">
        <v>434</v>
      </c>
      <c r="O80" s="341" t="s">
        <v>449</v>
      </c>
      <c r="P80" s="341">
        <v>20</v>
      </c>
      <c r="Q80" s="341" t="s">
        <v>435</v>
      </c>
      <c r="R80" s="341">
        <v>20</v>
      </c>
      <c r="S80" s="341">
        <v>1</v>
      </c>
      <c r="T80" s="341" t="s">
        <v>438</v>
      </c>
      <c r="U80" s="341">
        <v>1</v>
      </c>
      <c r="V80" s="341" t="s">
        <v>540</v>
      </c>
      <c r="W80" s="341" t="s">
        <v>541</v>
      </c>
      <c r="X80" s="341" t="s">
        <v>542</v>
      </c>
      <c r="Y80" s="341" t="s">
        <v>490</v>
      </c>
      <c r="Z80" s="293" t="s">
        <v>542</v>
      </c>
      <c r="AA80" s="293" t="s">
        <v>543</v>
      </c>
      <c r="AB80" s="341" t="s">
        <v>439</v>
      </c>
      <c r="AC80" s="341">
        <v>6</v>
      </c>
      <c r="AD80" s="341" t="s">
        <v>440</v>
      </c>
      <c r="AE80" s="301">
        <v>2</v>
      </c>
      <c r="AF80" s="348" t="s">
        <v>465</v>
      </c>
    </row>
    <row r="81" spans="1:32">
      <c r="B81" s="451" t="s">
        <v>291</v>
      </c>
      <c r="C81" s="443" t="s">
        <v>90</v>
      </c>
      <c r="D81" s="444" t="s">
        <v>274</v>
      </c>
      <c r="E81" s="452">
        <v>9.5</v>
      </c>
      <c r="F81" s="253"/>
      <c r="G81" s="253"/>
      <c r="H81" s="340" t="s">
        <v>142</v>
      </c>
      <c r="I81" s="341" t="s">
        <v>427</v>
      </c>
      <c r="J81" s="341">
        <v>1.5</v>
      </c>
      <c r="K81" s="341" t="s">
        <v>429</v>
      </c>
      <c r="L81" s="341" t="s">
        <v>450</v>
      </c>
      <c r="M81" s="341" t="s">
        <v>431</v>
      </c>
      <c r="N81" s="341" t="s">
        <v>434</v>
      </c>
      <c r="O81" s="341" t="s">
        <v>449</v>
      </c>
      <c r="P81" s="341">
        <v>20</v>
      </c>
      <c r="Q81" s="341" t="s">
        <v>435</v>
      </c>
      <c r="R81" s="341">
        <v>20</v>
      </c>
      <c r="S81" s="341">
        <v>1</v>
      </c>
      <c r="T81" s="341" t="s">
        <v>438</v>
      </c>
      <c r="U81" s="341">
        <v>1</v>
      </c>
      <c r="V81" s="341" t="s">
        <v>540</v>
      </c>
      <c r="W81" s="341" t="s">
        <v>541</v>
      </c>
      <c r="X81" s="341" t="s">
        <v>542</v>
      </c>
      <c r="Y81" s="341" t="s">
        <v>490</v>
      </c>
      <c r="Z81" s="293" t="s">
        <v>542</v>
      </c>
      <c r="AA81" s="293" t="s">
        <v>543</v>
      </c>
      <c r="AB81" s="341" t="s">
        <v>439</v>
      </c>
      <c r="AC81" s="341">
        <v>6</v>
      </c>
      <c r="AD81" s="341" t="s">
        <v>440</v>
      </c>
      <c r="AE81" s="301">
        <v>2</v>
      </c>
      <c r="AF81" s="348" t="s">
        <v>465</v>
      </c>
    </row>
    <row r="82" spans="1:32">
      <c r="B82" s="451" t="s">
        <v>290</v>
      </c>
      <c r="C82" s="443" t="s">
        <v>90</v>
      </c>
      <c r="D82" s="444" t="s">
        <v>274</v>
      </c>
      <c r="E82" s="452">
        <v>8</v>
      </c>
      <c r="F82" s="253"/>
      <c r="G82" s="253"/>
      <c r="H82" s="340" t="s">
        <v>143</v>
      </c>
      <c r="I82" s="341" t="s">
        <v>427</v>
      </c>
      <c r="J82" s="341">
        <v>1.5</v>
      </c>
      <c r="K82" s="341" t="s">
        <v>429</v>
      </c>
      <c r="L82" s="341" t="s">
        <v>450</v>
      </c>
      <c r="M82" s="341" t="s">
        <v>431</v>
      </c>
      <c r="N82" s="341" t="s">
        <v>434</v>
      </c>
      <c r="O82" s="341" t="s">
        <v>449</v>
      </c>
      <c r="P82" s="341">
        <v>20</v>
      </c>
      <c r="Q82" s="341" t="s">
        <v>435</v>
      </c>
      <c r="R82" s="341">
        <v>20</v>
      </c>
      <c r="S82" s="341">
        <v>1</v>
      </c>
      <c r="T82" s="341" t="s">
        <v>438</v>
      </c>
      <c r="U82" s="341">
        <v>1</v>
      </c>
      <c r="V82" s="341" t="s">
        <v>540</v>
      </c>
      <c r="W82" s="341" t="s">
        <v>541</v>
      </c>
      <c r="X82" s="341" t="s">
        <v>542</v>
      </c>
      <c r="Y82" s="341" t="s">
        <v>490</v>
      </c>
      <c r="Z82" s="293" t="s">
        <v>542</v>
      </c>
      <c r="AA82" s="293" t="s">
        <v>543</v>
      </c>
      <c r="AB82" s="341" t="s">
        <v>439</v>
      </c>
      <c r="AC82" s="341">
        <v>6</v>
      </c>
      <c r="AD82" s="341" t="s">
        <v>440</v>
      </c>
      <c r="AE82" s="301">
        <v>2</v>
      </c>
      <c r="AF82" s="348" t="s">
        <v>465</v>
      </c>
    </row>
    <row r="83" spans="1:32">
      <c r="B83" s="451" t="s">
        <v>289</v>
      </c>
      <c r="C83" s="443" t="s">
        <v>90</v>
      </c>
      <c r="D83" s="444" t="s">
        <v>274</v>
      </c>
      <c r="E83" s="452">
        <v>6.7</v>
      </c>
      <c r="F83" s="253"/>
      <c r="G83" s="253"/>
      <c r="H83" s="340" t="s">
        <v>144</v>
      </c>
      <c r="I83" s="341" t="s">
        <v>427</v>
      </c>
      <c r="J83" s="341">
        <v>1.5</v>
      </c>
      <c r="K83" s="341" t="s">
        <v>429</v>
      </c>
      <c r="L83" s="341" t="s">
        <v>450</v>
      </c>
      <c r="M83" s="341" t="s">
        <v>431</v>
      </c>
      <c r="N83" s="341" t="s">
        <v>434</v>
      </c>
      <c r="O83" s="341" t="s">
        <v>449</v>
      </c>
      <c r="P83" s="341">
        <v>20</v>
      </c>
      <c r="Q83" s="341" t="s">
        <v>435</v>
      </c>
      <c r="R83" s="341">
        <v>20</v>
      </c>
      <c r="S83" s="341">
        <v>1</v>
      </c>
      <c r="T83" s="341" t="s">
        <v>438</v>
      </c>
      <c r="U83" s="341">
        <v>1</v>
      </c>
      <c r="V83" s="341" t="s">
        <v>540</v>
      </c>
      <c r="W83" s="341" t="s">
        <v>541</v>
      </c>
      <c r="X83" s="341" t="s">
        <v>542</v>
      </c>
      <c r="Y83" s="341" t="s">
        <v>490</v>
      </c>
      <c r="Z83" s="293" t="s">
        <v>542</v>
      </c>
      <c r="AA83" s="293" t="s">
        <v>543</v>
      </c>
      <c r="AB83" s="341" t="s">
        <v>439</v>
      </c>
      <c r="AC83" s="341">
        <v>6</v>
      </c>
      <c r="AD83" s="341" t="s">
        <v>440</v>
      </c>
      <c r="AE83" s="301">
        <v>2</v>
      </c>
      <c r="AF83" s="348" t="s">
        <v>465</v>
      </c>
    </row>
    <row r="84" spans="1:32">
      <c r="B84" s="451" t="s">
        <v>288</v>
      </c>
      <c r="C84" s="443" t="s">
        <v>90</v>
      </c>
      <c r="D84" s="444" t="s">
        <v>274</v>
      </c>
      <c r="E84" s="452">
        <v>3</v>
      </c>
      <c r="F84" s="253"/>
      <c r="G84" s="253"/>
      <c r="H84" s="340" t="s">
        <v>145</v>
      </c>
      <c r="I84" s="341" t="s">
        <v>427</v>
      </c>
      <c r="J84" s="341">
        <v>1.5</v>
      </c>
      <c r="K84" s="341" t="s">
        <v>429</v>
      </c>
      <c r="L84" s="341" t="s">
        <v>450</v>
      </c>
      <c r="M84" s="341" t="s">
        <v>431</v>
      </c>
      <c r="N84" s="341" t="s">
        <v>434</v>
      </c>
      <c r="O84" s="341" t="s">
        <v>449</v>
      </c>
      <c r="P84" s="341">
        <v>20</v>
      </c>
      <c r="Q84" s="341" t="s">
        <v>435</v>
      </c>
      <c r="R84" s="341">
        <v>20</v>
      </c>
      <c r="S84" s="341">
        <v>1</v>
      </c>
      <c r="T84" s="341" t="s">
        <v>438</v>
      </c>
      <c r="U84" s="341">
        <v>1</v>
      </c>
      <c r="V84" s="341" t="s">
        <v>540</v>
      </c>
      <c r="W84" s="341" t="s">
        <v>541</v>
      </c>
      <c r="X84" s="341" t="s">
        <v>542</v>
      </c>
      <c r="Y84" s="341" t="s">
        <v>490</v>
      </c>
      <c r="Z84" s="293" t="s">
        <v>542</v>
      </c>
      <c r="AA84" s="293" t="s">
        <v>543</v>
      </c>
      <c r="AB84" s="341" t="s">
        <v>439</v>
      </c>
      <c r="AC84" s="341">
        <v>6</v>
      </c>
      <c r="AD84" s="341" t="s">
        <v>440</v>
      </c>
      <c r="AE84" s="301">
        <v>2</v>
      </c>
      <c r="AF84" s="348" t="s">
        <v>465</v>
      </c>
    </row>
    <row r="85" spans="1:32">
      <c r="B85" s="451" t="s">
        <v>287</v>
      </c>
      <c r="C85" s="443" t="s">
        <v>277</v>
      </c>
      <c r="D85" s="444" t="s">
        <v>274</v>
      </c>
      <c r="E85" s="452">
        <v>40</v>
      </c>
      <c r="F85" s="253"/>
      <c r="G85" s="253"/>
      <c r="H85" s="340" t="s">
        <v>310</v>
      </c>
      <c r="I85" s="341" t="s">
        <v>427</v>
      </c>
      <c r="J85" s="341">
        <v>1.5</v>
      </c>
      <c r="K85" s="341" t="s">
        <v>429</v>
      </c>
      <c r="L85" s="341" t="s">
        <v>450</v>
      </c>
      <c r="M85" s="341" t="s">
        <v>431</v>
      </c>
      <c r="N85" s="341" t="s">
        <v>434</v>
      </c>
      <c r="O85" s="341" t="s">
        <v>449</v>
      </c>
      <c r="P85" s="341">
        <v>20</v>
      </c>
      <c r="Q85" s="341" t="s">
        <v>435</v>
      </c>
      <c r="R85" s="341">
        <v>20</v>
      </c>
      <c r="S85" s="341">
        <v>1</v>
      </c>
      <c r="T85" s="341" t="s">
        <v>438</v>
      </c>
      <c r="U85" s="341">
        <v>1</v>
      </c>
      <c r="V85" s="341" t="s">
        <v>540</v>
      </c>
      <c r="W85" s="341" t="s">
        <v>541</v>
      </c>
      <c r="X85" s="341" t="s">
        <v>542</v>
      </c>
      <c r="Y85" s="341" t="s">
        <v>490</v>
      </c>
      <c r="Z85" s="293" t="s">
        <v>542</v>
      </c>
      <c r="AA85" s="293" t="s">
        <v>543</v>
      </c>
      <c r="AB85" s="341" t="s">
        <v>439</v>
      </c>
      <c r="AC85" s="341">
        <v>6</v>
      </c>
      <c r="AD85" s="341" t="s">
        <v>440</v>
      </c>
      <c r="AE85" s="301">
        <v>2</v>
      </c>
      <c r="AF85" s="348" t="s">
        <v>465</v>
      </c>
    </row>
    <row r="86" spans="1:32">
      <c r="B86" s="451" t="s">
        <v>286</v>
      </c>
      <c r="C86" s="443" t="s">
        <v>277</v>
      </c>
      <c r="D86" s="444" t="s">
        <v>274</v>
      </c>
      <c r="E86" s="452">
        <v>30</v>
      </c>
      <c r="F86" s="253"/>
      <c r="G86" s="253"/>
      <c r="H86" s="340" t="s">
        <v>309</v>
      </c>
      <c r="I86" s="341" t="s">
        <v>427</v>
      </c>
      <c r="J86" s="341">
        <v>1.5</v>
      </c>
      <c r="K86" s="341" t="s">
        <v>429</v>
      </c>
      <c r="L86" s="341" t="s">
        <v>450</v>
      </c>
      <c r="M86" s="341" t="s">
        <v>431</v>
      </c>
      <c r="N86" s="341" t="s">
        <v>434</v>
      </c>
      <c r="O86" s="341" t="s">
        <v>449</v>
      </c>
      <c r="P86" s="341">
        <v>20</v>
      </c>
      <c r="Q86" s="341" t="s">
        <v>435</v>
      </c>
      <c r="R86" s="341">
        <v>20</v>
      </c>
      <c r="S86" s="341">
        <v>1</v>
      </c>
      <c r="T86" s="341" t="s">
        <v>438</v>
      </c>
      <c r="U86" s="341">
        <v>1</v>
      </c>
      <c r="V86" s="341" t="s">
        <v>540</v>
      </c>
      <c r="W86" s="341" t="s">
        <v>541</v>
      </c>
      <c r="X86" s="341" t="s">
        <v>542</v>
      </c>
      <c r="Y86" s="341" t="s">
        <v>490</v>
      </c>
      <c r="Z86" s="293" t="s">
        <v>542</v>
      </c>
      <c r="AA86" s="293" t="s">
        <v>543</v>
      </c>
      <c r="AB86" s="341" t="s">
        <v>439</v>
      </c>
      <c r="AC86" s="341">
        <v>6</v>
      </c>
      <c r="AD86" s="341" t="s">
        <v>440</v>
      </c>
      <c r="AE86" s="301">
        <v>2</v>
      </c>
      <c r="AF86" s="348" t="s">
        <v>465</v>
      </c>
    </row>
    <row r="87" spans="1:32">
      <c r="B87" s="451" t="s">
        <v>285</v>
      </c>
      <c r="C87" s="443" t="s">
        <v>277</v>
      </c>
      <c r="D87" s="444" t="s">
        <v>274</v>
      </c>
      <c r="E87" s="452">
        <v>25</v>
      </c>
      <c r="F87" s="253"/>
      <c r="G87" s="253"/>
      <c r="H87" s="340" t="s">
        <v>308</v>
      </c>
      <c r="I87" s="341" t="s">
        <v>427</v>
      </c>
      <c r="J87" s="341">
        <v>1.5</v>
      </c>
      <c r="K87" s="341" t="s">
        <v>429</v>
      </c>
      <c r="L87" s="341" t="s">
        <v>450</v>
      </c>
      <c r="M87" s="341" t="s">
        <v>431</v>
      </c>
      <c r="N87" s="341" t="s">
        <v>434</v>
      </c>
      <c r="O87" s="341" t="s">
        <v>449</v>
      </c>
      <c r="P87" s="341">
        <v>20</v>
      </c>
      <c r="Q87" s="341" t="s">
        <v>435</v>
      </c>
      <c r="R87" s="341">
        <v>20</v>
      </c>
      <c r="S87" s="341">
        <v>1</v>
      </c>
      <c r="T87" s="341" t="s">
        <v>438</v>
      </c>
      <c r="U87" s="341">
        <v>1</v>
      </c>
      <c r="V87" s="341" t="s">
        <v>540</v>
      </c>
      <c r="W87" s="341" t="s">
        <v>541</v>
      </c>
      <c r="X87" s="341" t="s">
        <v>542</v>
      </c>
      <c r="Y87" s="341" t="s">
        <v>490</v>
      </c>
      <c r="Z87" s="293" t="s">
        <v>542</v>
      </c>
      <c r="AA87" s="293" t="s">
        <v>543</v>
      </c>
      <c r="AB87" s="341" t="s">
        <v>439</v>
      </c>
      <c r="AC87" s="341">
        <v>6</v>
      </c>
      <c r="AD87" s="341" t="s">
        <v>440</v>
      </c>
      <c r="AE87" s="301">
        <v>2</v>
      </c>
      <c r="AF87" s="348" t="s">
        <v>465</v>
      </c>
    </row>
    <row r="88" spans="1:32">
      <c r="B88" s="451" t="s">
        <v>284</v>
      </c>
      <c r="C88" s="443" t="s">
        <v>277</v>
      </c>
      <c r="D88" s="444" t="s">
        <v>274</v>
      </c>
      <c r="E88" s="452">
        <v>20</v>
      </c>
      <c r="F88" s="253"/>
      <c r="G88" s="253"/>
      <c r="H88" s="340" t="s">
        <v>146</v>
      </c>
      <c r="I88" s="341" t="s">
        <v>427</v>
      </c>
      <c r="J88" s="341">
        <v>1.5</v>
      </c>
      <c r="K88" s="341" t="s">
        <v>429</v>
      </c>
      <c r="L88" s="341" t="s">
        <v>450</v>
      </c>
      <c r="M88" s="341" t="s">
        <v>431</v>
      </c>
      <c r="N88" s="341" t="s">
        <v>434</v>
      </c>
      <c r="O88" s="341" t="s">
        <v>449</v>
      </c>
      <c r="P88" s="341">
        <v>20</v>
      </c>
      <c r="Q88" s="341" t="s">
        <v>435</v>
      </c>
      <c r="R88" s="341">
        <v>20</v>
      </c>
      <c r="S88" s="341">
        <v>1</v>
      </c>
      <c r="T88" s="341" t="s">
        <v>438</v>
      </c>
      <c r="U88" s="341">
        <v>1</v>
      </c>
      <c r="V88" s="341" t="s">
        <v>540</v>
      </c>
      <c r="W88" s="341" t="s">
        <v>541</v>
      </c>
      <c r="X88" s="341" t="s">
        <v>542</v>
      </c>
      <c r="Y88" s="341" t="s">
        <v>490</v>
      </c>
      <c r="Z88" s="293" t="s">
        <v>542</v>
      </c>
      <c r="AA88" s="293" t="s">
        <v>543</v>
      </c>
      <c r="AB88" s="341" t="s">
        <v>439</v>
      </c>
      <c r="AC88" s="341">
        <v>6</v>
      </c>
      <c r="AD88" s="341" t="s">
        <v>440</v>
      </c>
      <c r="AE88" s="301">
        <v>2</v>
      </c>
      <c r="AF88" s="348" t="s">
        <v>465</v>
      </c>
    </row>
    <row r="89" spans="1:32">
      <c r="B89" s="451" t="s">
        <v>283</v>
      </c>
      <c r="C89" s="443" t="s">
        <v>277</v>
      </c>
      <c r="D89" s="444" t="s">
        <v>274</v>
      </c>
      <c r="E89" s="452">
        <v>14</v>
      </c>
      <c r="F89" s="253"/>
      <c r="G89" s="253"/>
      <c r="H89" s="340" t="s">
        <v>91</v>
      </c>
      <c r="I89" s="341" t="s">
        <v>427</v>
      </c>
      <c r="J89" s="341">
        <v>1.5</v>
      </c>
      <c r="K89" s="341" t="s">
        <v>429</v>
      </c>
      <c r="L89" s="341" t="s">
        <v>450</v>
      </c>
      <c r="M89" s="341" t="s">
        <v>431</v>
      </c>
      <c r="N89" s="341" t="s">
        <v>434</v>
      </c>
      <c r="O89" s="341" t="s">
        <v>449</v>
      </c>
      <c r="P89" s="341">
        <v>20</v>
      </c>
      <c r="Q89" s="341" t="s">
        <v>435</v>
      </c>
      <c r="R89" s="341">
        <v>20</v>
      </c>
      <c r="S89" s="341">
        <v>1</v>
      </c>
      <c r="T89" s="341" t="s">
        <v>441</v>
      </c>
      <c r="U89" s="341">
        <v>1</v>
      </c>
      <c r="V89" s="341" t="s">
        <v>478</v>
      </c>
      <c r="W89" s="341" t="s">
        <v>488</v>
      </c>
      <c r="X89" s="293" t="s">
        <v>491</v>
      </c>
      <c r="Y89" s="293" t="s">
        <v>490</v>
      </c>
      <c r="Z89" s="293">
        <v>5</v>
      </c>
      <c r="AA89" s="293" t="s">
        <v>489</v>
      </c>
      <c r="AB89" s="341" t="s">
        <v>439</v>
      </c>
      <c r="AC89" s="341">
        <v>3</v>
      </c>
      <c r="AD89" s="341" t="s">
        <v>440</v>
      </c>
      <c r="AE89" s="301">
        <v>2</v>
      </c>
      <c r="AF89" s="348" t="s">
        <v>465</v>
      </c>
    </row>
    <row r="90" spans="1:32">
      <c r="B90" s="451" t="s">
        <v>282</v>
      </c>
      <c r="C90" s="443" t="s">
        <v>277</v>
      </c>
      <c r="D90" s="444" t="s">
        <v>274</v>
      </c>
      <c r="E90" s="452">
        <v>11.5</v>
      </c>
      <c r="F90" s="253"/>
      <c r="G90" s="253"/>
      <c r="H90" s="340" t="s">
        <v>306</v>
      </c>
      <c r="I90" s="341" t="s">
        <v>427</v>
      </c>
      <c r="J90" s="341">
        <v>1.5</v>
      </c>
      <c r="K90" s="341" t="s">
        <v>429</v>
      </c>
      <c r="L90" s="341" t="s">
        <v>450</v>
      </c>
      <c r="M90" s="341" t="s">
        <v>431</v>
      </c>
      <c r="N90" s="341" t="s">
        <v>434</v>
      </c>
      <c r="O90" s="341" t="s">
        <v>449</v>
      </c>
      <c r="P90" s="341">
        <v>20</v>
      </c>
      <c r="Q90" s="341" t="s">
        <v>435</v>
      </c>
      <c r="R90" s="341">
        <v>20</v>
      </c>
      <c r="S90" s="341">
        <v>1</v>
      </c>
      <c r="T90" s="341" t="s">
        <v>441</v>
      </c>
      <c r="U90" s="341">
        <v>1</v>
      </c>
      <c r="V90" s="341" t="s">
        <v>478</v>
      </c>
      <c r="W90" s="341" t="s">
        <v>488</v>
      </c>
      <c r="X90" s="293" t="s">
        <v>491</v>
      </c>
      <c r="Y90" s="293" t="s">
        <v>490</v>
      </c>
      <c r="Z90" s="293">
        <v>5</v>
      </c>
      <c r="AA90" s="293" t="s">
        <v>489</v>
      </c>
      <c r="AB90" s="341" t="s">
        <v>439</v>
      </c>
      <c r="AC90" s="341">
        <v>3</v>
      </c>
      <c r="AD90" s="341" t="s">
        <v>440</v>
      </c>
      <c r="AE90" s="301">
        <v>2</v>
      </c>
      <c r="AF90" s="348" t="s">
        <v>465</v>
      </c>
    </row>
    <row r="91" spans="1:32">
      <c r="B91" s="451" t="s">
        <v>281</v>
      </c>
      <c r="C91" s="443" t="s">
        <v>277</v>
      </c>
      <c r="D91" s="444" t="s">
        <v>274</v>
      </c>
      <c r="E91" s="452">
        <v>9.5</v>
      </c>
      <c r="F91" s="253"/>
      <c r="G91" s="253"/>
      <c r="H91" s="340" t="s">
        <v>92</v>
      </c>
      <c r="I91" s="341" t="s">
        <v>427</v>
      </c>
      <c r="J91" s="341">
        <v>1.5</v>
      </c>
      <c r="K91" s="341" t="s">
        <v>429</v>
      </c>
      <c r="L91" s="341" t="s">
        <v>450</v>
      </c>
      <c r="M91" s="341" t="s">
        <v>431</v>
      </c>
      <c r="N91" s="341" t="s">
        <v>434</v>
      </c>
      <c r="O91" s="341" t="s">
        <v>449</v>
      </c>
      <c r="P91" s="341">
        <v>20</v>
      </c>
      <c r="Q91" s="341" t="s">
        <v>435</v>
      </c>
      <c r="R91" s="341">
        <v>20</v>
      </c>
      <c r="S91" s="341">
        <v>1</v>
      </c>
      <c r="T91" s="341" t="s">
        <v>441</v>
      </c>
      <c r="U91" s="341">
        <v>1</v>
      </c>
      <c r="V91" s="341" t="s">
        <v>478</v>
      </c>
      <c r="W91" s="341" t="s">
        <v>488</v>
      </c>
      <c r="X91" s="293" t="s">
        <v>491</v>
      </c>
      <c r="Y91" s="293" t="s">
        <v>490</v>
      </c>
      <c r="Z91" s="293">
        <v>5</v>
      </c>
      <c r="AA91" s="293" t="s">
        <v>489</v>
      </c>
      <c r="AB91" s="341" t="s">
        <v>439</v>
      </c>
      <c r="AC91" s="341">
        <v>3</v>
      </c>
      <c r="AD91" s="341" t="s">
        <v>440</v>
      </c>
      <c r="AE91" s="301">
        <v>2</v>
      </c>
      <c r="AF91" s="348" t="s">
        <v>465</v>
      </c>
    </row>
    <row r="92" spans="1:32">
      <c r="B92" s="451" t="s">
        <v>280</v>
      </c>
      <c r="C92" s="443" t="s">
        <v>277</v>
      </c>
      <c r="D92" s="444" t="s">
        <v>274</v>
      </c>
      <c r="E92" s="452">
        <v>8</v>
      </c>
      <c r="F92" s="253"/>
      <c r="G92" s="253"/>
      <c r="H92" s="340" t="s">
        <v>93</v>
      </c>
      <c r="I92" s="341" t="s">
        <v>427</v>
      </c>
      <c r="J92" s="341">
        <v>1.5</v>
      </c>
      <c r="K92" s="341" t="s">
        <v>429</v>
      </c>
      <c r="L92" s="341" t="s">
        <v>450</v>
      </c>
      <c r="M92" s="341" t="s">
        <v>431</v>
      </c>
      <c r="N92" s="341" t="s">
        <v>434</v>
      </c>
      <c r="O92" s="341" t="s">
        <v>449</v>
      </c>
      <c r="P92" s="341">
        <v>20</v>
      </c>
      <c r="Q92" s="341" t="s">
        <v>435</v>
      </c>
      <c r="R92" s="341">
        <v>20</v>
      </c>
      <c r="S92" s="341">
        <v>1</v>
      </c>
      <c r="T92" s="341" t="s">
        <v>441</v>
      </c>
      <c r="U92" s="341">
        <v>1</v>
      </c>
      <c r="V92" s="341" t="s">
        <v>478</v>
      </c>
      <c r="W92" s="341" t="s">
        <v>488</v>
      </c>
      <c r="X92" s="293" t="s">
        <v>491</v>
      </c>
      <c r="Y92" s="293" t="s">
        <v>490</v>
      </c>
      <c r="Z92" s="293">
        <v>5</v>
      </c>
      <c r="AA92" s="293" t="s">
        <v>489</v>
      </c>
      <c r="AB92" s="341" t="s">
        <v>439</v>
      </c>
      <c r="AC92" s="341">
        <v>3</v>
      </c>
      <c r="AD92" s="341" t="s">
        <v>440</v>
      </c>
      <c r="AE92" s="301">
        <v>2</v>
      </c>
      <c r="AF92" s="348" t="s">
        <v>465</v>
      </c>
    </row>
    <row r="93" spans="1:32">
      <c r="B93" s="451" t="s">
        <v>279</v>
      </c>
      <c r="C93" s="443" t="s">
        <v>277</v>
      </c>
      <c r="D93" s="444" t="s">
        <v>274</v>
      </c>
      <c r="E93" s="452">
        <v>6.7</v>
      </c>
      <c r="F93" s="253"/>
      <c r="G93" s="253"/>
      <c r="H93" s="340" t="s">
        <v>94</v>
      </c>
      <c r="I93" s="341" t="s">
        <v>427</v>
      </c>
      <c r="J93" s="341">
        <v>1.5</v>
      </c>
      <c r="K93" s="341" t="s">
        <v>429</v>
      </c>
      <c r="L93" s="341" t="s">
        <v>450</v>
      </c>
      <c r="M93" s="341" t="s">
        <v>431</v>
      </c>
      <c r="N93" s="341" t="s">
        <v>434</v>
      </c>
      <c r="O93" s="341" t="s">
        <v>449</v>
      </c>
      <c r="P93" s="341">
        <v>20</v>
      </c>
      <c r="Q93" s="341" t="s">
        <v>435</v>
      </c>
      <c r="R93" s="341">
        <v>20</v>
      </c>
      <c r="S93" s="341">
        <v>1</v>
      </c>
      <c r="T93" s="341" t="s">
        <v>438</v>
      </c>
      <c r="U93" s="341">
        <v>1</v>
      </c>
      <c r="V93" s="341" t="s">
        <v>540</v>
      </c>
      <c r="W93" s="341" t="s">
        <v>541</v>
      </c>
      <c r="X93" s="341" t="s">
        <v>542</v>
      </c>
      <c r="Y93" s="341" t="s">
        <v>490</v>
      </c>
      <c r="Z93" s="293" t="s">
        <v>542</v>
      </c>
      <c r="AA93" s="293" t="s">
        <v>543</v>
      </c>
      <c r="AB93" s="341" t="s">
        <v>439</v>
      </c>
      <c r="AC93" s="341">
        <v>6</v>
      </c>
      <c r="AD93" s="341" t="s">
        <v>440</v>
      </c>
      <c r="AE93" s="301">
        <v>2</v>
      </c>
      <c r="AF93" s="348" t="s">
        <v>465</v>
      </c>
    </row>
    <row r="94" spans="1:32">
      <c r="B94" s="451" t="s">
        <v>278</v>
      </c>
      <c r="C94" s="443" t="s">
        <v>277</v>
      </c>
      <c r="D94" s="444" t="s">
        <v>274</v>
      </c>
      <c r="E94" s="452">
        <v>3</v>
      </c>
      <c r="F94" s="253"/>
      <c r="G94" s="253"/>
      <c r="H94" s="340" t="s">
        <v>98</v>
      </c>
      <c r="I94" s="341" t="s">
        <v>427</v>
      </c>
      <c r="J94" s="341">
        <v>1.5</v>
      </c>
      <c r="K94" s="341" t="s">
        <v>429</v>
      </c>
      <c r="L94" s="341" t="s">
        <v>450</v>
      </c>
      <c r="M94" s="341" t="s">
        <v>431</v>
      </c>
      <c r="N94" s="341" t="s">
        <v>434</v>
      </c>
      <c r="O94" s="341" t="s">
        <v>449</v>
      </c>
      <c r="P94" s="341">
        <v>20</v>
      </c>
      <c r="Q94" s="341" t="s">
        <v>435</v>
      </c>
      <c r="R94" s="341">
        <v>20</v>
      </c>
      <c r="S94" s="341">
        <v>1</v>
      </c>
      <c r="T94" s="341" t="s">
        <v>441</v>
      </c>
      <c r="U94" s="341">
        <v>1</v>
      </c>
      <c r="V94" s="341" t="s">
        <v>478</v>
      </c>
      <c r="W94" s="341" t="s">
        <v>488</v>
      </c>
      <c r="X94" s="293" t="s">
        <v>491</v>
      </c>
      <c r="Y94" s="293" t="s">
        <v>490</v>
      </c>
      <c r="Z94" s="293">
        <v>5</v>
      </c>
      <c r="AA94" s="293" t="s">
        <v>489</v>
      </c>
      <c r="AB94" s="341" t="s">
        <v>439</v>
      </c>
      <c r="AC94" s="341">
        <v>3</v>
      </c>
      <c r="AD94" s="341" t="s">
        <v>440</v>
      </c>
      <c r="AE94" s="301">
        <v>2</v>
      </c>
      <c r="AF94" s="348" t="s">
        <v>465</v>
      </c>
    </row>
    <row r="95" spans="1:32">
      <c r="B95" s="440" t="s">
        <v>276</v>
      </c>
      <c r="C95" s="441" t="s">
        <v>275</v>
      </c>
      <c r="D95" s="229" t="s">
        <v>274</v>
      </c>
      <c r="E95" s="442">
        <v>40</v>
      </c>
      <c r="F95" s="253"/>
      <c r="G95" s="253"/>
      <c r="H95" s="340" t="s">
        <v>105</v>
      </c>
      <c r="I95" s="341" t="s">
        <v>427</v>
      </c>
      <c r="J95" s="341">
        <v>1.5</v>
      </c>
      <c r="K95" s="341" t="s">
        <v>429</v>
      </c>
      <c r="L95" s="341" t="s">
        <v>450</v>
      </c>
      <c r="M95" s="341" t="s">
        <v>431</v>
      </c>
      <c r="N95" s="341" t="s">
        <v>434</v>
      </c>
      <c r="O95" s="341" t="s">
        <v>449</v>
      </c>
      <c r="P95" s="341">
        <v>20</v>
      </c>
      <c r="Q95" s="341" t="s">
        <v>435</v>
      </c>
      <c r="R95" s="341">
        <v>20</v>
      </c>
      <c r="S95" s="341">
        <v>1</v>
      </c>
      <c r="T95" s="341" t="s">
        <v>440</v>
      </c>
      <c r="U95" s="341">
        <v>1</v>
      </c>
      <c r="V95" s="341" t="s">
        <v>478</v>
      </c>
      <c r="W95" s="341" t="s">
        <v>488</v>
      </c>
      <c r="X95" s="293" t="s">
        <v>491</v>
      </c>
      <c r="Y95" s="293" t="s">
        <v>490</v>
      </c>
      <c r="Z95" s="293">
        <v>5</v>
      </c>
      <c r="AA95" s="293" t="s">
        <v>489</v>
      </c>
      <c r="AB95" s="341" t="s">
        <v>439</v>
      </c>
      <c r="AC95" s="341">
        <v>6</v>
      </c>
      <c r="AD95" s="341" t="s">
        <v>440</v>
      </c>
      <c r="AE95" s="301">
        <v>2</v>
      </c>
      <c r="AF95" s="348" t="s">
        <v>465</v>
      </c>
    </row>
    <row r="96" spans="1:32">
      <c r="A96" s="445"/>
      <c r="B96" s="451" t="s">
        <v>574</v>
      </c>
      <c r="C96" s="443" t="s">
        <v>566</v>
      </c>
      <c r="D96" s="444" t="s">
        <v>567</v>
      </c>
      <c r="E96" s="453" t="s">
        <v>593</v>
      </c>
      <c r="H96" s="340" t="s">
        <v>106</v>
      </c>
      <c r="I96" s="341" t="s">
        <v>427</v>
      </c>
      <c r="J96" s="341">
        <v>1.5</v>
      </c>
      <c r="K96" s="341" t="s">
        <v>429</v>
      </c>
      <c r="L96" s="341" t="s">
        <v>450</v>
      </c>
      <c r="M96" s="341" t="s">
        <v>431</v>
      </c>
      <c r="N96" s="341" t="s">
        <v>434</v>
      </c>
      <c r="O96" s="341" t="s">
        <v>449</v>
      </c>
      <c r="P96" s="341">
        <v>20</v>
      </c>
      <c r="Q96" s="341" t="s">
        <v>435</v>
      </c>
      <c r="R96" s="341">
        <v>20</v>
      </c>
      <c r="S96" s="341">
        <v>1</v>
      </c>
      <c r="T96" s="341" t="s">
        <v>440</v>
      </c>
      <c r="U96" s="341">
        <v>1</v>
      </c>
      <c r="V96" s="341" t="s">
        <v>478</v>
      </c>
      <c r="W96" s="341" t="s">
        <v>488</v>
      </c>
      <c r="X96" s="293" t="s">
        <v>491</v>
      </c>
      <c r="Y96" s="293" t="s">
        <v>490</v>
      </c>
      <c r="Z96" s="293">
        <v>5</v>
      </c>
      <c r="AA96" s="293" t="s">
        <v>489</v>
      </c>
      <c r="AB96" s="341" t="s">
        <v>439</v>
      </c>
      <c r="AC96" s="341">
        <v>6</v>
      </c>
      <c r="AD96" s="341" t="s">
        <v>440</v>
      </c>
      <c r="AE96" s="301">
        <v>2</v>
      </c>
      <c r="AF96" s="349" t="s">
        <v>465</v>
      </c>
    </row>
    <row r="97" spans="1:32">
      <c r="A97" s="445"/>
      <c r="B97" s="451" t="s">
        <v>575</v>
      </c>
      <c r="C97" s="443" t="s">
        <v>566</v>
      </c>
      <c r="D97" s="444" t="s">
        <v>567</v>
      </c>
      <c r="E97" s="453" t="s">
        <v>594</v>
      </c>
      <c r="H97" s="340" t="s">
        <v>158</v>
      </c>
      <c r="I97" s="341" t="s">
        <v>427</v>
      </c>
      <c r="J97" s="341">
        <v>1.5</v>
      </c>
      <c r="K97" s="341" t="s">
        <v>429</v>
      </c>
      <c r="L97" s="341" t="s">
        <v>450</v>
      </c>
      <c r="M97" s="341" t="s">
        <v>431</v>
      </c>
      <c r="N97" s="341" t="s">
        <v>434</v>
      </c>
      <c r="O97" s="341" t="s">
        <v>449</v>
      </c>
      <c r="P97" s="341">
        <v>20</v>
      </c>
      <c r="Q97" s="341" t="s">
        <v>435</v>
      </c>
      <c r="R97" s="341">
        <v>20</v>
      </c>
      <c r="S97" s="341">
        <v>1</v>
      </c>
      <c r="T97" s="341" t="s">
        <v>438</v>
      </c>
      <c r="U97" s="341">
        <v>1</v>
      </c>
      <c r="V97" s="341" t="s">
        <v>540</v>
      </c>
      <c r="W97" s="341" t="s">
        <v>541</v>
      </c>
      <c r="X97" s="341" t="s">
        <v>542</v>
      </c>
      <c r="Y97" s="341" t="s">
        <v>490</v>
      </c>
      <c r="Z97" s="293" t="s">
        <v>542</v>
      </c>
      <c r="AA97" s="293" t="s">
        <v>543</v>
      </c>
      <c r="AB97" s="341" t="s">
        <v>439</v>
      </c>
      <c r="AC97" s="341">
        <v>6</v>
      </c>
      <c r="AD97" s="341" t="s">
        <v>440</v>
      </c>
      <c r="AE97" s="301">
        <v>2</v>
      </c>
      <c r="AF97" s="349" t="s">
        <v>465</v>
      </c>
    </row>
    <row r="98" spans="1:32">
      <c r="A98" s="445"/>
      <c r="B98" s="451" t="s">
        <v>576</v>
      </c>
      <c r="C98" s="443" t="s">
        <v>566</v>
      </c>
      <c r="D98" s="444" t="s">
        <v>567</v>
      </c>
      <c r="E98" s="453" t="s">
        <v>595</v>
      </c>
      <c r="H98" s="340" t="s">
        <v>159</v>
      </c>
      <c r="I98" s="341" t="s">
        <v>427</v>
      </c>
      <c r="J98" s="341">
        <v>1.5</v>
      </c>
      <c r="K98" s="341" t="s">
        <v>429</v>
      </c>
      <c r="L98" s="341" t="s">
        <v>450</v>
      </c>
      <c r="M98" s="341" t="s">
        <v>431</v>
      </c>
      <c r="N98" s="341" t="s">
        <v>434</v>
      </c>
      <c r="O98" s="341" t="s">
        <v>449</v>
      </c>
      <c r="P98" s="341">
        <v>20</v>
      </c>
      <c r="Q98" s="341" t="s">
        <v>435</v>
      </c>
      <c r="R98" s="341">
        <v>20</v>
      </c>
      <c r="S98" s="341">
        <v>1</v>
      </c>
      <c r="T98" s="341" t="s">
        <v>438</v>
      </c>
      <c r="U98" s="341">
        <v>1</v>
      </c>
      <c r="V98" s="341" t="s">
        <v>540</v>
      </c>
      <c r="W98" s="341" t="s">
        <v>541</v>
      </c>
      <c r="X98" s="341" t="s">
        <v>542</v>
      </c>
      <c r="Y98" s="341" t="s">
        <v>490</v>
      </c>
      <c r="Z98" s="293" t="s">
        <v>542</v>
      </c>
      <c r="AA98" s="293" t="s">
        <v>543</v>
      </c>
      <c r="AB98" s="341" t="s">
        <v>439</v>
      </c>
      <c r="AC98" s="341">
        <v>6</v>
      </c>
      <c r="AD98" s="341" t="s">
        <v>440</v>
      </c>
      <c r="AE98" s="301">
        <v>2</v>
      </c>
      <c r="AF98" s="349" t="s">
        <v>465</v>
      </c>
    </row>
    <row r="99" spans="1:32">
      <c r="A99" s="445"/>
      <c r="B99" s="451" t="s">
        <v>577</v>
      </c>
      <c r="C99" s="443" t="s">
        <v>566</v>
      </c>
      <c r="D99" s="444" t="s">
        <v>567</v>
      </c>
      <c r="E99" s="453" t="s">
        <v>596</v>
      </c>
      <c r="H99" s="344" t="s">
        <v>297</v>
      </c>
      <c r="I99" s="341" t="s">
        <v>427</v>
      </c>
      <c r="J99" s="341">
        <v>1.5</v>
      </c>
      <c r="K99" s="341" t="s">
        <v>429</v>
      </c>
      <c r="L99" s="341" t="s">
        <v>450</v>
      </c>
      <c r="M99" s="341" t="s">
        <v>431</v>
      </c>
      <c r="N99" s="341" t="s">
        <v>434</v>
      </c>
      <c r="O99" s="341" t="s">
        <v>449</v>
      </c>
      <c r="P99" s="341">
        <v>20</v>
      </c>
      <c r="Q99" s="341" t="s">
        <v>435</v>
      </c>
      <c r="R99" s="341">
        <v>20</v>
      </c>
      <c r="S99" s="341">
        <v>1</v>
      </c>
      <c r="T99" s="341" t="s">
        <v>440</v>
      </c>
      <c r="U99" s="341">
        <v>1</v>
      </c>
      <c r="V99" s="341" t="s">
        <v>478</v>
      </c>
      <c r="W99" s="341" t="s">
        <v>488</v>
      </c>
      <c r="X99" s="293" t="s">
        <v>491</v>
      </c>
      <c r="Y99" s="293" t="s">
        <v>490</v>
      </c>
      <c r="Z99" s="293">
        <v>5</v>
      </c>
      <c r="AA99" s="293" t="s">
        <v>489</v>
      </c>
      <c r="AB99" s="341" t="s">
        <v>439</v>
      </c>
      <c r="AC99" s="341">
        <v>3</v>
      </c>
      <c r="AD99" s="341" t="s">
        <v>440</v>
      </c>
      <c r="AE99" s="301">
        <v>2</v>
      </c>
      <c r="AF99" s="349" t="s">
        <v>465</v>
      </c>
    </row>
    <row r="100" spans="1:32">
      <c r="A100" s="445"/>
      <c r="B100" s="451" t="s">
        <v>573</v>
      </c>
      <c r="C100" s="443" t="s">
        <v>568</v>
      </c>
      <c r="D100" s="444" t="s">
        <v>567</v>
      </c>
      <c r="E100" s="453">
        <v>100</v>
      </c>
      <c r="H100" s="344" t="s">
        <v>296</v>
      </c>
      <c r="I100" s="341" t="s">
        <v>427</v>
      </c>
      <c r="J100" s="341">
        <v>1.5</v>
      </c>
      <c r="K100" s="341" t="s">
        <v>429</v>
      </c>
      <c r="L100" s="341" t="s">
        <v>450</v>
      </c>
      <c r="M100" s="341" t="s">
        <v>431</v>
      </c>
      <c r="N100" s="341" t="s">
        <v>434</v>
      </c>
      <c r="O100" s="341" t="s">
        <v>449</v>
      </c>
      <c r="P100" s="341">
        <v>20</v>
      </c>
      <c r="Q100" s="341" t="s">
        <v>435</v>
      </c>
      <c r="R100" s="341">
        <v>20</v>
      </c>
      <c r="S100" s="341">
        <v>1</v>
      </c>
      <c r="T100" s="341" t="s">
        <v>440</v>
      </c>
      <c r="U100" s="341">
        <v>1</v>
      </c>
      <c r="V100" s="341" t="s">
        <v>478</v>
      </c>
      <c r="W100" s="341" t="s">
        <v>488</v>
      </c>
      <c r="X100" s="293" t="s">
        <v>491</v>
      </c>
      <c r="Y100" s="293" t="s">
        <v>490</v>
      </c>
      <c r="Z100" s="293">
        <v>5</v>
      </c>
      <c r="AA100" s="293" t="s">
        <v>489</v>
      </c>
      <c r="AB100" s="341" t="s">
        <v>439</v>
      </c>
      <c r="AC100" s="341">
        <v>3</v>
      </c>
      <c r="AD100" s="341" t="s">
        <v>440</v>
      </c>
      <c r="AE100" s="301">
        <v>2</v>
      </c>
      <c r="AF100" s="349" t="s">
        <v>465</v>
      </c>
    </row>
    <row r="101" spans="1:32">
      <c r="A101" s="445"/>
      <c r="B101" s="451" t="s">
        <v>569</v>
      </c>
      <c r="C101" s="443" t="s">
        <v>570</v>
      </c>
      <c r="D101" s="444" t="s">
        <v>591</v>
      </c>
      <c r="E101" s="453" t="s">
        <v>592</v>
      </c>
      <c r="H101" s="344" t="s">
        <v>295</v>
      </c>
      <c r="I101" s="341" t="s">
        <v>427</v>
      </c>
      <c r="J101" s="341">
        <v>1.5</v>
      </c>
      <c r="K101" s="341" t="s">
        <v>429</v>
      </c>
      <c r="L101" s="341" t="s">
        <v>450</v>
      </c>
      <c r="M101" s="341" t="s">
        <v>431</v>
      </c>
      <c r="N101" s="341" t="s">
        <v>434</v>
      </c>
      <c r="O101" s="341" t="s">
        <v>449</v>
      </c>
      <c r="P101" s="341">
        <v>20</v>
      </c>
      <c r="Q101" s="341" t="s">
        <v>435</v>
      </c>
      <c r="R101" s="341">
        <v>20</v>
      </c>
      <c r="S101" s="341">
        <v>1</v>
      </c>
      <c r="T101" s="341" t="s">
        <v>440</v>
      </c>
      <c r="U101" s="341">
        <v>1</v>
      </c>
      <c r="V101" s="341" t="s">
        <v>478</v>
      </c>
      <c r="W101" s="341" t="s">
        <v>488</v>
      </c>
      <c r="X101" s="293" t="s">
        <v>491</v>
      </c>
      <c r="Y101" s="293" t="s">
        <v>490</v>
      </c>
      <c r="Z101" s="293">
        <v>5</v>
      </c>
      <c r="AA101" s="293" t="s">
        <v>489</v>
      </c>
      <c r="AB101" s="341" t="s">
        <v>439</v>
      </c>
      <c r="AC101" s="341">
        <v>3</v>
      </c>
      <c r="AD101" s="341" t="s">
        <v>440</v>
      </c>
      <c r="AE101" s="301">
        <v>2</v>
      </c>
      <c r="AF101" s="349" t="s">
        <v>465</v>
      </c>
    </row>
    <row r="102" spans="1:32">
      <c r="A102" s="445"/>
      <c r="B102" s="451" t="s">
        <v>578</v>
      </c>
      <c r="C102" s="443" t="s">
        <v>571</v>
      </c>
      <c r="D102" s="444" t="s">
        <v>567</v>
      </c>
      <c r="E102" s="453" t="s">
        <v>584</v>
      </c>
      <c r="H102" s="344" t="s">
        <v>294</v>
      </c>
      <c r="I102" s="341" t="s">
        <v>427</v>
      </c>
      <c r="J102" s="341">
        <v>1.5</v>
      </c>
      <c r="K102" s="341" t="s">
        <v>429</v>
      </c>
      <c r="L102" s="341" t="s">
        <v>450</v>
      </c>
      <c r="M102" s="341" t="s">
        <v>431</v>
      </c>
      <c r="N102" s="341" t="s">
        <v>434</v>
      </c>
      <c r="O102" s="341" t="s">
        <v>449</v>
      </c>
      <c r="P102" s="341">
        <v>20</v>
      </c>
      <c r="Q102" s="341" t="s">
        <v>435</v>
      </c>
      <c r="R102" s="341">
        <v>20</v>
      </c>
      <c r="S102" s="341">
        <v>1</v>
      </c>
      <c r="T102" s="341" t="s">
        <v>440</v>
      </c>
      <c r="U102" s="341">
        <v>1</v>
      </c>
      <c r="V102" s="341" t="s">
        <v>478</v>
      </c>
      <c r="W102" s="341" t="s">
        <v>488</v>
      </c>
      <c r="X102" s="293" t="s">
        <v>491</v>
      </c>
      <c r="Y102" s="293" t="s">
        <v>490</v>
      </c>
      <c r="Z102" s="293">
        <v>5</v>
      </c>
      <c r="AA102" s="293" t="s">
        <v>489</v>
      </c>
      <c r="AB102" s="341" t="s">
        <v>439</v>
      </c>
      <c r="AC102" s="341">
        <v>3</v>
      </c>
      <c r="AD102" s="341" t="s">
        <v>440</v>
      </c>
      <c r="AE102" s="301">
        <v>2</v>
      </c>
      <c r="AF102" s="349" t="s">
        <v>465</v>
      </c>
    </row>
    <row r="103" spans="1:32">
      <c r="A103" s="445"/>
      <c r="B103" s="451" t="s">
        <v>579</v>
      </c>
      <c r="C103" s="443" t="s">
        <v>571</v>
      </c>
      <c r="D103" s="444" t="s">
        <v>567</v>
      </c>
      <c r="E103" s="453" t="s">
        <v>585</v>
      </c>
      <c r="H103" s="344" t="s">
        <v>293</v>
      </c>
      <c r="I103" s="341" t="s">
        <v>427</v>
      </c>
      <c r="J103" s="341">
        <v>1.5</v>
      </c>
      <c r="K103" s="341" t="s">
        <v>429</v>
      </c>
      <c r="L103" s="341" t="s">
        <v>450</v>
      </c>
      <c r="M103" s="341" t="s">
        <v>431</v>
      </c>
      <c r="N103" s="341" t="s">
        <v>434</v>
      </c>
      <c r="O103" s="341" t="s">
        <v>449</v>
      </c>
      <c r="P103" s="341">
        <v>20</v>
      </c>
      <c r="Q103" s="341" t="s">
        <v>435</v>
      </c>
      <c r="R103" s="341">
        <v>20</v>
      </c>
      <c r="S103" s="341">
        <v>1</v>
      </c>
      <c r="T103" s="341" t="s">
        <v>438</v>
      </c>
      <c r="U103" s="341">
        <v>1</v>
      </c>
      <c r="V103" s="341" t="s">
        <v>540</v>
      </c>
      <c r="W103" s="341" t="s">
        <v>541</v>
      </c>
      <c r="X103" s="341" t="s">
        <v>542</v>
      </c>
      <c r="Y103" s="341" t="s">
        <v>490</v>
      </c>
      <c r="Z103" s="293" t="s">
        <v>542</v>
      </c>
      <c r="AA103" s="293" t="s">
        <v>543</v>
      </c>
      <c r="AB103" s="341" t="s">
        <v>439</v>
      </c>
      <c r="AC103" s="341">
        <v>6</v>
      </c>
      <c r="AD103" s="341" t="s">
        <v>440</v>
      </c>
      <c r="AE103" s="301">
        <v>2</v>
      </c>
      <c r="AF103" s="349" t="s">
        <v>465</v>
      </c>
    </row>
    <row r="104" spans="1:32">
      <c r="A104" s="445"/>
      <c r="B104" s="451" t="s">
        <v>580</v>
      </c>
      <c r="C104" s="443" t="s">
        <v>571</v>
      </c>
      <c r="D104" s="444" t="s">
        <v>567</v>
      </c>
      <c r="E104" s="453" t="s">
        <v>586</v>
      </c>
      <c r="H104" s="344" t="s">
        <v>292</v>
      </c>
      <c r="I104" s="341" t="s">
        <v>427</v>
      </c>
      <c r="J104" s="341">
        <v>1.5</v>
      </c>
      <c r="K104" s="341" t="s">
        <v>429</v>
      </c>
      <c r="L104" s="341" t="s">
        <v>450</v>
      </c>
      <c r="M104" s="341" t="s">
        <v>431</v>
      </c>
      <c r="N104" s="341" t="s">
        <v>434</v>
      </c>
      <c r="O104" s="341" t="s">
        <v>449</v>
      </c>
      <c r="P104" s="341">
        <v>20</v>
      </c>
      <c r="Q104" s="341" t="s">
        <v>435</v>
      </c>
      <c r="R104" s="341">
        <v>20</v>
      </c>
      <c r="S104" s="341">
        <v>1</v>
      </c>
      <c r="T104" s="341" t="s">
        <v>438</v>
      </c>
      <c r="U104" s="341">
        <v>1</v>
      </c>
      <c r="V104" s="341" t="s">
        <v>540</v>
      </c>
      <c r="W104" s="341" t="s">
        <v>541</v>
      </c>
      <c r="X104" s="341" t="s">
        <v>542</v>
      </c>
      <c r="Y104" s="341" t="s">
        <v>490</v>
      </c>
      <c r="Z104" s="293" t="s">
        <v>542</v>
      </c>
      <c r="AA104" s="293" t="s">
        <v>543</v>
      </c>
      <c r="AB104" s="341" t="s">
        <v>439</v>
      </c>
      <c r="AC104" s="341">
        <v>6</v>
      </c>
      <c r="AD104" s="341" t="s">
        <v>440</v>
      </c>
      <c r="AE104" s="301">
        <v>2</v>
      </c>
      <c r="AF104" s="349" t="s">
        <v>465</v>
      </c>
    </row>
    <row r="105" spans="1:32">
      <c r="A105" s="445"/>
      <c r="B105" s="451" t="s">
        <v>581</v>
      </c>
      <c r="C105" s="443" t="s">
        <v>572</v>
      </c>
      <c r="D105" s="444" t="s">
        <v>567</v>
      </c>
      <c r="E105" s="453" t="s">
        <v>587</v>
      </c>
      <c r="H105" s="344" t="s">
        <v>291</v>
      </c>
      <c r="I105" s="341" t="s">
        <v>427</v>
      </c>
      <c r="J105" s="341">
        <v>1.5</v>
      </c>
      <c r="K105" s="341" t="s">
        <v>429</v>
      </c>
      <c r="L105" s="341" t="s">
        <v>450</v>
      </c>
      <c r="M105" s="341" t="s">
        <v>431</v>
      </c>
      <c r="N105" s="341" t="s">
        <v>434</v>
      </c>
      <c r="O105" s="341" t="s">
        <v>449</v>
      </c>
      <c r="P105" s="341">
        <v>20</v>
      </c>
      <c r="Q105" s="341" t="s">
        <v>435</v>
      </c>
      <c r="R105" s="341">
        <v>20</v>
      </c>
      <c r="S105" s="341">
        <v>1</v>
      </c>
      <c r="T105" s="341" t="s">
        <v>438</v>
      </c>
      <c r="U105" s="341">
        <v>1</v>
      </c>
      <c r="V105" s="341" t="s">
        <v>540</v>
      </c>
      <c r="W105" s="341" t="s">
        <v>541</v>
      </c>
      <c r="X105" s="341" t="s">
        <v>542</v>
      </c>
      <c r="Y105" s="341" t="s">
        <v>490</v>
      </c>
      <c r="Z105" s="293" t="s">
        <v>542</v>
      </c>
      <c r="AA105" s="293" t="s">
        <v>543</v>
      </c>
      <c r="AB105" s="341" t="s">
        <v>439</v>
      </c>
      <c r="AC105" s="341">
        <v>6</v>
      </c>
      <c r="AD105" s="341" t="s">
        <v>440</v>
      </c>
      <c r="AE105" s="301">
        <v>2</v>
      </c>
      <c r="AF105" s="349" t="s">
        <v>465</v>
      </c>
    </row>
    <row r="106" spans="1:32">
      <c r="A106" s="445"/>
      <c r="B106" s="451" t="s">
        <v>582</v>
      </c>
      <c r="C106" s="443" t="s">
        <v>572</v>
      </c>
      <c r="D106" s="444" t="s">
        <v>567</v>
      </c>
      <c r="E106" s="453" t="s">
        <v>588</v>
      </c>
      <c r="H106" s="344" t="s">
        <v>290</v>
      </c>
      <c r="I106" s="341" t="s">
        <v>427</v>
      </c>
      <c r="J106" s="341">
        <v>1.5</v>
      </c>
      <c r="K106" s="341" t="s">
        <v>429</v>
      </c>
      <c r="L106" s="341" t="s">
        <v>450</v>
      </c>
      <c r="M106" s="341" t="s">
        <v>431</v>
      </c>
      <c r="N106" s="341" t="s">
        <v>434</v>
      </c>
      <c r="O106" s="341" t="s">
        <v>449</v>
      </c>
      <c r="P106" s="341">
        <v>20</v>
      </c>
      <c r="Q106" s="341" t="s">
        <v>435</v>
      </c>
      <c r="R106" s="341">
        <v>20</v>
      </c>
      <c r="S106" s="341">
        <v>1</v>
      </c>
      <c r="T106" s="341" t="s">
        <v>438</v>
      </c>
      <c r="U106" s="341">
        <v>1</v>
      </c>
      <c r="V106" s="341" t="s">
        <v>540</v>
      </c>
      <c r="W106" s="341" t="s">
        <v>541</v>
      </c>
      <c r="X106" s="341" t="s">
        <v>542</v>
      </c>
      <c r="Y106" s="341" t="s">
        <v>490</v>
      </c>
      <c r="Z106" s="293" t="s">
        <v>542</v>
      </c>
      <c r="AA106" s="293" t="s">
        <v>543</v>
      </c>
      <c r="AB106" s="341" t="s">
        <v>439</v>
      </c>
      <c r="AC106" s="341">
        <v>6</v>
      </c>
      <c r="AD106" s="341" t="s">
        <v>440</v>
      </c>
      <c r="AE106" s="301">
        <v>2</v>
      </c>
      <c r="AF106" s="349" t="s">
        <v>465</v>
      </c>
    </row>
    <row r="107" spans="1:32">
      <c r="A107" s="445"/>
      <c r="B107" s="451" t="s">
        <v>583</v>
      </c>
      <c r="C107" s="443" t="s">
        <v>572</v>
      </c>
      <c r="D107" s="444" t="s">
        <v>567</v>
      </c>
      <c r="E107" s="453" t="s">
        <v>589</v>
      </c>
      <c r="H107" s="344" t="s">
        <v>289</v>
      </c>
      <c r="I107" s="341" t="s">
        <v>427</v>
      </c>
      <c r="J107" s="341">
        <v>1.5</v>
      </c>
      <c r="K107" s="341" t="s">
        <v>429</v>
      </c>
      <c r="L107" s="341" t="s">
        <v>450</v>
      </c>
      <c r="M107" s="341" t="s">
        <v>431</v>
      </c>
      <c r="N107" s="341" t="s">
        <v>434</v>
      </c>
      <c r="O107" s="341" t="s">
        <v>449</v>
      </c>
      <c r="P107" s="341">
        <v>20</v>
      </c>
      <c r="Q107" s="341" t="s">
        <v>435</v>
      </c>
      <c r="R107" s="341">
        <v>20</v>
      </c>
      <c r="S107" s="341">
        <v>1</v>
      </c>
      <c r="T107" s="341" t="s">
        <v>438</v>
      </c>
      <c r="U107" s="341">
        <v>1</v>
      </c>
      <c r="V107" s="341" t="s">
        <v>540</v>
      </c>
      <c r="W107" s="341" t="s">
        <v>541</v>
      </c>
      <c r="X107" s="341" t="s">
        <v>542</v>
      </c>
      <c r="Y107" s="341" t="s">
        <v>490</v>
      </c>
      <c r="Z107" s="293" t="s">
        <v>542</v>
      </c>
      <c r="AA107" s="293" t="s">
        <v>543</v>
      </c>
      <c r="AB107" s="341" t="s">
        <v>439</v>
      </c>
      <c r="AC107" s="341">
        <v>6</v>
      </c>
      <c r="AD107" s="341" t="s">
        <v>440</v>
      </c>
      <c r="AE107" s="301">
        <v>2</v>
      </c>
      <c r="AF107" s="349" t="s">
        <v>465</v>
      </c>
    </row>
    <row r="108" spans="1:32">
      <c r="A108" s="445"/>
      <c r="B108" s="451" t="s">
        <v>597</v>
      </c>
      <c r="C108" s="443" t="s">
        <v>572</v>
      </c>
      <c r="D108" s="444" t="s">
        <v>567</v>
      </c>
      <c r="E108" s="453" t="s">
        <v>590</v>
      </c>
      <c r="H108" s="344" t="s">
        <v>288</v>
      </c>
      <c r="I108" s="341" t="s">
        <v>427</v>
      </c>
      <c r="J108" s="341">
        <v>1.5</v>
      </c>
      <c r="K108" s="341" t="s">
        <v>429</v>
      </c>
      <c r="L108" s="341" t="s">
        <v>450</v>
      </c>
      <c r="M108" s="341" t="s">
        <v>431</v>
      </c>
      <c r="N108" s="341" t="s">
        <v>434</v>
      </c>
      <c r="O108" s="341" t="s">
        <v>449</v>
      </c>
      <c r="P108" s="341">
        <v>20</v>
      </c>
      <c r="Q108" s="341" t="s">
        <v>435</v>
      </c>
      <c r="R108" s="341">
        <v>20</v>
      </c>
      <c r="S108" s="341">
        <v>1</v>
      </c>
      <c r="T108" s="341" t="s">
        <v>438</v>
      </c>
      <c r="U108" s="341">
        <v>1</v>
      </c>
      <c r="V108" s="341" t="s">
        <v>540</v>
      </c>
      <c r="W108" s="341" t="s">
        <v>541</v>
      </c>
      <c r="X108" s="341" t="s">
        <v>542</v>
      </c>
      <c r="Y108" s="341" t="s">
        <v>490</v>
      </c>
      <c r="Z108" s="293" t="s">
        <v>542</v>
      </c>
      <c r="AA108" s="293" t="s">
        <v>543</v>
      </c>
      <c r="AB108" s="341" t="s">
        <v>439</v>
      </c>
      <c r="AC108" s="341">
        <v>6</v>
      </c>
      <c r="AD108" s="341" t="s">
        <v>440</v>
      </c>
      <c r="AE108" s="301">
        <v>2</v>
      </c>
      <c r="AF108" s="349" t="s">
        <v>465</v>
      </c>
    </row>
    <row r="109" spans="1:32">
      <c r="B109" s="451" t="s">
        <v>598</v>
      </c>
      <c r="C109" s="443" t="s">
        <v>602</v>
      </c>
      <c r="D109" s="444" t="s">
        <v>603</v>
      </c>
      <c r="E109" s="453">
        <v>100</v>
      </c>
      <c r="H109" s="344" t="s">
        <v>287</v>
      </c>
      <c r="I109" s="341" t="s">
        <v>427</v>
      </c>
      <c r="J109" s="341">
        <v>1.5</v>
      </c>
      <c r="K109" s="341" t="s">
        <v>429</v>
      </c>
      <c r="L109" s="341" t="s">
        <v>450</v>
      </c>
      <c r="M109" s="341" t="s">
        <v>431</v>
      </c>
      <c r="N109" s="341" t="s">
        <v>434</v>
      </c>
      <c r="O109" s="341" t="s">
        <v>449</v>
      </c>
      <c r="P109" s="341">
        <v>20</v>
      </c>
      <c r="Q109" s="341" t="s">
        <v>435</v>
      </c>
      <c r="R109" s="341">
        <v>20</v>
      </c>
      <c r="S109" s="341">
        <v>1</v>
      </c>
      <c r="T109" s="341" t="s">
        <v>440</v>
      </c>
      <c r="U109" s="341">
        <v>1</v>
      </c>
      <c r="V109" s="341" t="s">
        <v>478</v>
      </c>
      <c r="W109" s="341" t="s">
        <v>488</v>
      </c>
      <c r="X109" s="293" t="s">
        <v>491</v>
      </c>
      <c r="Y109" s="293" t="s">
        <v>490</v>
      </c>
      <c r="Z109" s="293">
        <v>5</v>
      </c>
      <c r="AA109" s="293" t="s">
        <v>489</v>
      </c>
      <c r="AB109" s="341" t="s">
        <v>439</v>
      </c>
      <c r="AC109" s="341">
        <v>3</v>
      </c>
      <c r="AD109" s="341" t="s">
        <v>440</v>
      </c>
      <c r="AE109" s="301">
        <v>2</v>
      </c>
      <c r="AF109" s="349" t="s">
        <v>465</v>
      </c>
    </row>
    <row r="110" spans="1:32">
      <c r="B110" s="451" t="s">
        <v>599</v>
      </c>
      <c r="C110" s="443" t="s">
        <v>602</v>
      </c>
      <c r="D110" s="444" t="s">
        <v>603</v>
      </c>
      <c r="E110" s="453">
        <v>60</v>
      </c>
      <c r="H110" s="344" t="s">
        <v>286</v>
      </c>
      <c r="I110" s="341" t="s">
        <v>427</v>
      </c>
      <c r="J110" s="341">
        <v>1.5</v>
      </c>
      <c r="K110" s="341" t="s">
        <v>429</v>
      </c>
      <c r="L110" s="341" t="s">
        <v>450</v>
      </c>
      <c r="M110" s="341" t="s">
        <v>431</v>
      </c>
      <c r="N110" s="341" t="s">
        <v>434</v>
      </c>
      <c r="O110" s="341" t="s">
        <v>449</v>
      </c>
      <c r="P110" s="341">
        <v>20</v>
      </c>
      <c r="Q110" s="341" t="s">
        <v>435</v>
      </c>
      <c r="R110" s="341">
        <v>20</v>
      </c>
      <c r="S110" s="341">
        <v>1</v>
      </c>
      <c r="T110" s="341" t="s">
        <v>440</v>
      </c>
      <c r="U110" s="341">
        <v>1</v>
      </c>
      <c r="V110" s="341" t="s">
        <v>478</v>
      </c>
      <c r="W110" s="341" t="s">
        <v>488</v>
      </c>
      <c r="X110" s="293" t="s">
        <v>491</v>
      </c>
      <c r="Y110" s="293" t="s">
        <v>490</v>
      </c>
      <c r="Z110" s="293">
        <v>5</v>
      </c>
      <c r="AA110" s="293" t="s">
        <v>489</v>
      </c>
      <c r="AB110" s="341" t="s">
        <v>439</v>
      </c>
      <c r="AC110" s="341">
        <v>3</v>
      </c>
      <c r="AD110" s="341" t="s">
        <v>440</v>
      </c>
      <c r="AE110" s="301">
        <v>2</v>
      </c>
      <c r="AF110" s="349" t="s">
        <v>465</v>
      </c>
    </row>
    <row r="111" spans="1:32">
      <c r="B111" s="451" t="s">
        <v>600</v>
      </c>
      <c r="C111" s="443" t="s">
        <v>602</v>
      </c>
      <c r="D111" s="444" t="s">
        <v>603</v>
      </c>
      <c r="E111" s="453">
        <v>120</v>
      </c>
      <c r="H111" s="344" t="s">
        <v>285</v>
      </c>
      <c r="I111" s="341" t="s">
        <v>427</v>
      </c>
      <c r="J111" s="341">
        <v>1.5</v>
      </c>
      <c r="K111" s="341" t="s">
        <v>429</v>
      </c>
      <c r="L111" s="341" t="s">
        <v>450</v>
      </c>
      <c r="M111" s="341" t="s">
        <v>431</v>
      </c>
      <c r="N111" s="341" t="s">
        <v>434</v>
      </c>
      <c r="O111" s="341" t="s">
        <v>449</v>
      </c>
      <c r="P111" s="341">
        <v>20</v>
      </c>
      <c r="Q111" s="341" t="s">
        <v>435</v>
      </c>
      <c r="R111" s="341">
        <v>20</v>
      </c>
      <c r="S111" s="341">
        <v>1</v>
      </c>
      <c r="T111" s="341" t="s">
        <v>440</v>
      </c>
      <c r="U111" s="341">
        <v>1</v>
      </c>
      <c r="V111" s="341" t="s">
        <v>478</v>
      </c>
      <c r="W111" s="341" t="s">
        <v>488</v>
      </c>
      <c r="X111" s="293" t="s">
        <v>491</v>
      </c>
      <c r="Y111" s="293" t="s">
        <v>490</v>
      </c>
      <c r="Z111" s="293">
        <v>5</v>
      </c>
      <c r="AA111" s="293" t="s">
        <v>489</v>
      </c>
      <c r="AB111" s="341" t="s">
        <v>439</v>
      </c>
      <c r="AC111" s="341">
        <v>3</v>
      </c>
      <c r="AD111" s="341" t="s">
        <v>440</v>
      </c>
      <c r="AE111" s="301">
        <v>2</v>
      </c>
      <c r="AF111" s="349" t="s">
        <v>465</v>
      </c>
    </row>
    <row r="112" spans="1:32" ht="14.25" thickBot="1">
      <c r="B112" s="227" t="s">
        <v>601</v>
      </c>
      <c r="C112" s="226" t="s">
        <v>602</v>
      </c>
      <c r="D112" s="107" t="s">
        <v>603</v>
      </c>
      <c r="E112" s="454">
        <v>60</v>
      </c>
      <c r="H112" s="344" t="s">
        <v>284</v>
      </c>
      <c r="I112" s="341" t="s">
        <v>427</v>
      </c>
      <c r="J112" s="341">
        <v>1.5</v>
      </c>
      <c r="K112" s="341" t="s">
        <v>429</v>
      </c>
      <c r="L112" s="341" t="s">
        <v>450</v>
      </c>
      <c r="M112" s="341" t="s">
        <v>431</v>
      </c>
      <c r="N112" s="341" t="s">
        <v>434</v>
      </c>
      <c r="O112" s="341" t="s">
        <v>449</v>
      </c>
      <c r="P112" s="341">
        <v>20</v>
      </c>
      <c r="Q112" s="341" t="s">
        <v>435</v>
      </c>
      <c r="R112" s="341">
        <v>20</v>
      </c>
      <c r="S112" s="341">
        <v>1</v>
      </c>
      <c r="T112" s="341" t="s">
        <v>440</v>
      </c>
      <c r="U112" s="341">
        <v>1</v>
      </c>
      <c r="V112" s="341" t="s">
        <v>478</v>
      </c>
      <c r="W112" s="341" t="s">
        <v>488</v>
      </c>
      <c r="X112" s="293" t="s">
        <v>491</v>
      </c>
      <c r="Y112" s="293" t="s">
        <v>490</v>
      </c>
      <c r="Z112" s="293">
        <v>5</v>
      </c>
      <c r="AA112" s="293" t="s">
        <v>489</v>
      </c>
      <c r="AB112" s="341" t="s">
        <v>439</v>
      </c>
      <c r="AC112" s="341">
        <v>3</v>
      </c>
      <c r="AD112" s="341" t="s">
        <v>440</v>
      </c>
      <c r="AE112" s="301">
        <v>2</v>
      </c>
      <c r="AF112" s="349" t="s">
        <v>465</v>
      </c>
    </row>
    <row r="113" spans="8:32">
      <c r="H113" s="344" t="s">
        <v>283</v>
      </c>
      <c r="I113" s="341" t="s">
        <v>427</v>
      </c>
      <c r="J113" s="341">
        <v>1.5</v>
      </c>
      <c r="K113" s="341" t="s">
        <v>429</v>
      </c>
      <c r="L113" s="341" t="s">
        <v>450</v>
      </c>
      <c r="M113" s="341" t="s">
        <v>431</v>
      </c>
      <c r="N113" s="341" t="s">
        <v>434</v>
      </c>
      <c r="O113" s="341" t="s">
        <v>449</v>
      </c>
      <c r="P113" s="341">
        <v>20</v>
      </c>
      <c r="Q113" s="341" t="s">
        <v>435</v>
      </c>
      <c r="R113" s="341">
        <v>20</v>
      </c>
      <c r="S113" s="341">
        <v>1</v>
      </c>
      <c r="T113" s="341" t="s">
        <v>438</v>
      </c>
      <c r="U113" s="341">
        <v>1</v>
      </c>
      <c r="V113" s="341" t="s">
        <v>540</v>
      </c>
      <c r="W113" s="341" t="s">
        <v>541</v>
      </c>
      <c r="X113" s="341" t="s">
        <v>542</v>
      </c>
      <c r="Y113" s="341" t="s">
        <v>490</v>
      </c>
      <c r="Z113" s="293" t="s">
        <v>542</v>
      </c>
      <c r="AA113" s="293" t="s">
        <v>543</v>
      </c>
      <c r="AB113" s="341" t="s">
        <v>439</v>
      </c>
      <c r="AC113" s="341">
        <v>6</v>
      </c>
      <c r="AD113" s="341" t="s">
        <v>440</v>
      </c>
      <c r="AE113" s="301">
        <v>2</v>
      </c>
      <c r="AF113" s="349" t="s">
        <v>465</v>
      </c>
    </row>
    <row r="114" spans="8:32">
      <c r="H114" s="344" t="s">
        <v>282</v>
      </c>
      <c r="I114" s="341" t="s">
        <v>427</v>
      </c>
      <c r="J114" s="341">
        <v>1.5</v>
      </c>
      <c r="K114" s="341" t="s">
        <v>429</v>
      </c>
      <c r="L114" s="341" t="s">
        <v>450</v>
      </c>
      <c r="M114" s="341" t="s">
        <v>431</v>
      </c>
      <c r="N114" s="341" t="s">
        <v>434</v>
      </c>
      <c r="O114" s="341" t="s">
        <v>449</v>
      </c>
      <c r="P114" s="341">
        <v>20</v>
      </c>
      <c r="Q114" s="341" t="s">
        <v>435</v>
      </c>
      <c r="R114" s="341">
        <v>20</v>
      </c>
      <c r="S114" s="341">
        <v>1</v>
      </c>
      <c r="T114" s="341" t="s">
        <v>438</v>
      </c>
      <c r="U114" s="341">
        <v>1</v>
      </c>
      <c r="V114" s="341" t="s">
        <v>540</v>
      </c>
      <c r="W114" s="341" t="s">
        <v>541</v>
      </c>
      <c r="X114" s="341" t="s">
        <v>542</v>
      </c>
      <c r="Y114" s="341" t="s">
        <v>490</v>
      </c>
      <c r="Z114" s="293" t="s">
        <v>542</v>
      </c>
      <c r="AA114" s="293" t="s">
        <v>543</v>
      </c>
      <c r="AB114" s="341" t="s">
        <v>439</v>
      </c>
      <c r="AC114" s="341">
        <v>6</v>
      </c>
      <c r="AD114" s="341" t="s">
        <v>440</v>
      </c>
      <c r="AE114" s="301">
        <v>2</v>
      </c>
      <c r="AF114" s="349" t="s">
        <v>465</v>
      </c>
    </row>
    <row r="115" spans="8:32">
      <c r="H115" s="344" t="s">
        <v>281</v>
      </c>
      <c r="I115" s="341" t="s">
        <v>427</v>
      </c>
      <c r="J115" s="341">
        <v>1.5</v>
      </c>
      <c r="K115" s="341" t="s">
        <v>429</v>
      </c>
      <c r="L115" s="341" t="s">
        <v>450</v>
      </c>
      <c r="M115" s="341" t="s">
        <v>431</v>
      </c>
      <c r="N115" s="341" t="s">
        <v>434</v>
      </c>
      <c r="O115" s="341" t="s">
        <v>449</v>
      </c>
      <c r="P115" s="341">
        <v>20</v>
      </c>
      <c r="Q115" s="341" t="s">
        <v>435</v>
      </c>
      <c r="R115" s="341">
        <v>20</v>
      </c>
      <c r="S115" s="341">
        <v>1</v>
      </c>
      <c r="T115" s="341" t="s">
        <v>438</v>
      </c>
      <c r="U115" s="341">
        <v>1</v>
      </c>
      <c r="V115" s="341" t="s">
        <v>540</v>
      </c>
      <c r="W115" s="341" t="s">
        <v>541</v>
      </c>
      <c r="X115" s="341" t="s">
        <v>542</v>
      </c>
      <c r="Y115" s="341" t="s">
        <v>490</v>
      </c>
      <c r="Z115" s="293" t="s">
        <v>542</v>
      </c>
      <c r="AA115" s="293" t="s">
        <v>543</v>
      </c>
      <c r="AB115" s="341" t="s">
        <v>439</v>
      </c>
      <c r="AC115" s="341">
        <v>6</v>
      </c>
      <c r="AD115" s="341" t="s">
        <v>440</v>
      </c>
      <c r="AE115" s="301">
        <v>2</v>
      </c>
      <c r="AF115" s="349" t="s">
        <v>465</v>
      </c>
    </row>
    <row r="116" spans="8:32">
      <c r="H116" s="344" t="s">
        <v>280</v>
      </c>
      <c r="I116" s="341" t="s">
        <v>427</v>
      </c>
      <c r="J116" s="341">
        <v>1.5</v>
      </c>
      <c r="K116" s="341" t="s">
        <v>429</v>
      </c>
      <c r="L116" s="341" t="s">
        <v>450</v>
      </c>
      <c r="M116" s="341" t="s">
        <v>431</v>
      </c>
      <c r="N116" s="341" t="s">
        <v>434</v>
      </c>
      <c r="O116" s="341" t="s">
        <v>449</v>
      </c>
      <c r="P116" s="341">
        <v>20</v>
      </c>
      <c r="Q116" s="341" t="s">
        <v>435</v>
      </c>
      <c r="R116" s="341">
        <v>20</v>
      </c>
      <c r="S116" s="341">
        <v>1</v>
      </c>
      <c r="T116" s="341" t="s">
        <v>438</v>
      </c>
      <c r="U116" s="341">
        <v>1</v>
      </c>
      <c r="V116" s="341" t="s">
        <v>540</v>
      </c>
      <c r="W116" s="341" t="s">
        <v>541</v>
      </c>
      <c r="X116" s="341" t="s">
        <v>542</v>
      </c>
      <c r="Y116" s="341" t="s">
        <v>490</v>
      </c>
      <c r="Z116" s="293" t="s">
        <v>542</v>
      </c>
      <c r="AA116" s="293" t="s">
        <v>543</v>
      </c>
      <c r="AB116" s="341" t="s">
        <v>439</v>
      </c>
      <c r="AC116" s="341">
        <v>6</v>
      </c>
      <c r="AD116" s="341" t="s">
        <v>440</v>
      </c>
      <c r="AE116" s="301">
        <v>2</v>
      </c>
      <c r="AF116" s="349" t="s">
        <v>465</v>
      </c>
    </row>
    <row r="117" spans="8:32">
      <c r="H117" s="344" t="s">
        <v>279</v>
      </c>
      <c r="I117" s="341" t="s">
        <v>427</v>
      </c>
      <c r="J117" s="341">
        <v>1.5</v>
      </c>
      <c r="K117" s="341" t="s">
        <v>429</v>
      </c>
      <c r="L117" s="341" t="s">
        <v>450</v>
      </c>
      <c r="M117" s="341" t="s">
        <v>431</v>
      </c>
      <c r="N117" s="341" t="s">
        <v>434</v>
      </c>
      <c r="O117" s="341" t="s">
        <v>449</v>
      </c>
      <c r="P117" s="341">
        <v>20</v>
      </c>
      <c r="Q117" s="341" t="s">
        <v>435</v>
      </c>
      <c r="R117" s="341">
        <v>20</v>
      </c>
      <c r="S117" s="341">
        <v>1</v>
      </c>
      <c r="T117" s="341" t="s">
        <v>438</v>
      </c>
      <c r="U117" s="341">
        <v>1</v>
      </c>
      <c r="V117" s="341" t="s">
        <v>540</v>
      </c>
      <c r="W117" s="341" t="s">
        <v>541</v>
      </c>
      <c r="X117" s="341" t="s">
        <v>542</v>
      </c>
      <c r="Y117" s="341" t="s">
        <v>490</v>
      </c>
      <c r="Z117" s="293" t="s">
        <v>542</v>
      </c>
      <c r="AA117" s="293" t="s">
        <v>543</v>
      </c>
      <c r="AB117" s="341" t="s">
        <v>439</v>
      </c>
      <c r="AC117" s="341">
        <v>6</v>
      </c>
      <c r="AD117" s="341" t="s">
        <v>440</v>
      </c>
      <c r="AE117" s="301">
        <v>2</v>
      </c>
      <c r="AF117" s="349" t="s">
        <v>465</v>
      </c>
    </row>
    <row r="118" spans="8:32">
      <c r="H118" s="344" t="s">
        <v>278</v>
      </c>
      <c r="I118" s="341" t="s">
        <v>427</v>
      </c>
      <c r="J118" s="341">
        <v>1.5</v>
      </c>
      <c r="K118" s="341" t="s">
        <v>429</v>
      </c>
      <c r="L118" s="341" t="s">
        <v>450</v>
      </c>
      <c r="M118" s="341" t="s">
        <v>431</v>
      </c>
      <c r="N118" s="341" t="s">
        <v>434</v>
      </c>
      <c r="O118" s="341" t="s">
        <v>449</v>
      </c>
      <c r="P118" s="341">
        <v>20</v>
      </c>
      <c r="Q118" s="341" t="s">
        <v>435</v>
      </c>
      <c r="R118" s="341">
        <v>20</v>
      </c>
      <c r="S118" s="341">
        <v>1</v>
      </c>
      <c r="T118" s="341" t="s">
        <v>438</v>
      </c>
      <c r="U118" s="341">
        <v>1</v>
      </c>
      <c r="V118" s="341" t="s">
        <v>540</v>
      </c>
      <c r="W118" s="341" t="s">
        <v>541</v>
      </c>
      <c r="X118" s="341" t="s">
        <v>542</v>
      </c>
      <c r="Y118" s="341" t="s">
        <v>490</v>
      </c>
      <c r="Z118" s="293" t="s">
        <v>542</v>
      </c>
      <c r="AA118" s="293" t="s">
        <v>543</v>
      </c>
      <c r="AB118" s="341" t="s">
        <v>439</v>
      </c>
      <c r="AC118" s="341">
        <v>6</v>
      </c>
      <c r="AD118" s="341" t="s">
        <v>440</v>
      </c>
      <c r="AE118" s="301">
        <v>2</v>
      </c>
      <c r="AF118" s="349" t="s">
        <v>465</v>
      </c>
    </row>
    <row r="119" spans="8:32">
      <c r="H119" s="340" t="s">
        <v>132</v>
      </c>
      <c r="I119" s="341" t="s">
        <v>451</v>
      </c>
      <c r="J119" s="341" t="s">
        <v>452</v>
      </c>
      <c r="K119" s="341" t="s">
        <v>453</v>
      </c>
      <c r="L119" s="341" t="s">
        <v>454</v>
      </c>
      <c r="M119" s="341" t="s">
        <v>445</v>
      </c>
      <c r="N119" s="341">
        <v>0.15</v>
      </c>
      <c r="O119" s="341" t="s">
        <v>443</v>
      </c>
      <c r="P119" s="341">
        <v>20</v>
      </c>
      <c r="Q119" s="341" t="s">
        <v>435</v>
      </c>
      <c r="R119" s="341">
        <v>20</v>
      </c>
      <c r="S119" s="341">
        <v>1</v>
      </c>
      <c r="T119" s="341" t="s">
        <v>440</v>
      </c>
      <c r="U119" s="341">
        <v>1</v>
      </c>
      <c r="V119" s="341" t="s">
        <v>478</v>
      </c>
      <c r="W119" s="341" t="s">
        <v>488</v>
      </c>
      <c r="X119" s="293" t="s">
        <v>491</v>
      </c>
      <c r="Y119" s="293" t="s">
        <v>490</v>
      </c>
      <c r="Z119" s="293">
        <v>5</v>
      </c>
      <c r="AA119" s="293" t="s">
        <v>489</v>
      </c>
      <c r="AB119" s="341" t="s">
        <v>439</v>
      </c>
      <c r="AC119" s="341">
        <v>3</v>
      </c>
      <c r="AD119" s="341" t="s">
        <v>440</v>
      </c>
      <c r="AE119" s="301">
        <v>2</v>
      </c>
      <c r="AF119" s="349" t="s">
        <v>455</v>
      </c>
    </row>
    <row r="120" spans="8:32">
      <c r="H120" s="340" t="s">
        <v>133</v>
      </c>
      <c r="I120" s="341" t="s">
        <v>451</v>
      </c>
      <c r="J120" s="341" t="s">
        <v>452</v>
      </c>
      <c r="K120" s="341" t="s">
        <v>453</v>
      </c>
      <c r="L120" s="341" t="s">
        <v>454</v>
      </c>
      <c r="M120" s="341" t="s">
        <v>445</v>
      </c>
      <c r="N120" s="341">
        <v>0.15</v>
      </c>
      <c r="O120" s="341" t="s">
        <v>443</v>
      </c>
      <c r="P120" s="341">
        <v>20</v>
      </c>
      <c r="Q120" s="341" t="s">
        <v>435</v>
      </c>
      <c r="R120" s="341">
        <v>20</v>
      </c>
      <c r="S120" s="341">
        <v>1</v>
      </c>
      <c r="T120" s="341" t="s">
        <v>440</v>
      </c>
      <c r="U120" s="341">
        <v>1</v>
      </c>
      <c r="V120" s="341" t="s">
        <v>478</v>
      </c>
      <c r="W120" s="341" t="s">
        <v>488</v>
      </c>
      <c r="X120" s="293" t="s">
        <v>491</v>
      </c>
      <c r="Y120" s="293" t="s">
        <v>490</v>
      </c>
      <c r="Z120" s="293">
        <v>5</v>
      </c>
      <c r="AA120" s="293" t="s">
        <v>489</v>
      </c>
      <c r="AB120" s="341" t="s">
        <v>439</v>
      </c>
      <c r="AC120" s="341">
        <v>3</v>
      </c>
      <c r="AD120" s="341" t="s">
        <v>440</v>
      </c>
      <c r="AE120" s="301">
        <v>2</v>
      </c>
      <c r="AF120" s="349" t="s">
        <v>455</v>
      </c>
    </row>
    <row r="121" spans="8:32">
      <c r="H121" s="340" t="s">
        <v>134</v>
      </c>
      <c r="I121" s="341" t="s">
        <v>451</v>
      </c>
      <c r="J121" s="341" t="s">
        <v>452</v>
      </c>
      <c r="K121" s="341" t="s">
        <v>453</v>
      </c>
      <c r="L121" s="341" t="s">
        <v>454</v>
      </c>
      <c r="M121" s="341" t="s">
        <v>445</v>
      </c>
      <c r="N121" s="341">
        <v>0.15</v>
      </c>
      <c r="O121" s="341" t="s">
        <v>443</v>
      </c>
      <c r="P121" s="341">
        <v>20</v>
      </c>
      <c r="Q121" s="341" t="s">
        <v>435</v>
      </c>
      <c r="R121" s="341">
        <v>20</v>
      </c>
      <c r="S121" s="341">
        <v>1</v>
      </c>
      <c r="T121" s="341" t="s">
        <v>440</v>
      </c>
      <c r="U121" s="341">
        <v>1</v>
      </c>
      <c r="V121" s="341" t="s">
        <v>478</v>
      </c>
      <c r="W121" s="341" t="s">
        <v>488</v>
      </c>
      <c r="X121" s="293" t="s">
        <v>491</v>
      </c>
      <c r="Y121" s="293" t="s">
        <v>490</v>
      </c>
      <c r="Z121" s="293">
        <v>5</v>
      </c>
      <c r="AA121" s="293" t="s">
        <v>489</v>
      </c>
      <c r="AB121" s="341" t="s">
        <v>439</v>
      </c>
      <c r="AC121" s="341">
        <v>3</v>
      </c>
      <c r="AD121" s="341" t="s">
        <v>440</v>
      </c>
      <c r="AE121" s="301">
        <v>2</v>
      </c>
      <c r="AF121" s="349" t="s">
        <v>455</v>
      </c>
    </row>
    <row r="122" spans="8:32">
      <c r="H122" s="340" t="s">
        <v>135</v>
      </c>
      <c r="I122" s="341" t="s">
        <v>451</v>
      </c>
      <c r="J122" s="341" t="s">
        <v>452</v>
      </c>
      <c r="K122" s="341" t="s">
        <v>453</v>
      </c>
      <c r="L122" s="341" t="s">
        <v>454</v>
      </c>
      <c r="M122" s="341" t="s">
        <v>445</v>
      </c>
      <c r="N122" s="341">
        <v>0.15</v>
      </c>
      <c r="O122" s="341" t="s">
        <v>443</v>
      </c>
      <c r="P122" s="341">
        <v>20</v>
      </c>
      <c r="Q122" s="341" t="s">
        <v>435</v>
      </c>
      <c r="R122" s="341">
        <v>20</v>
      </c>
      <c r="S122" s="341">
        <v>1</v>
      </c>
      <c r="T122" s="341" t="s">
        <v>440</v>
      </c>
      <c r="U122" s="341">
        <v>1</v>
      </c>
      <c r="V122" s="341" t="s">
        <v>478</v>
      </c>
      <c r="W122" s="341" t="s">
        <v>488</v>
      </c>
      <c r="X122" s="293" t="s">
        <v>491</v>
      </c>
      <c r="Y122" s="293" t="s">
        <v>490</v>
      </c>
      <c r="Z122" s="293">
        <v>5</v>
      </c>
      <c r="AA122" s="293" t="s">
        <v>489</v>
      </c>
      <c r="AB122" s="341" t="s">
        <v>439</v>
      </c>
      <c r="AC122" s="341">
        <v>3</v>
      </c>
      <c r="AD122" s="341" t="s">
        <v>440</v>
      </c>
      <c r="AE122" s="301">
        <v>2</v>
      </c>
      <c r="AF122" s="349" t="s">
        <v>455</v>
      </c>
    </row>
    <row r="123" spans="8:32">
      <c r="H123" s="340" t="s">
        <v>136</v>
      </c>
      <c r="I123" s="341" t="s">
        <v>451</v>
      </c>
      <c r="J123" s="341" t="s">
        <v>452</v>
      </c>
      <c r="K123" s="341" t="s">
        <v>453</v>
      </c>
      <c r="L123" s="341" t="s">
        <v>454</v>
      </c>
      <c r="M123" s="341" t="s">
        <v>445</v>
      </c>
      <c r="N123" s="341">
        <v>0.15</v>
      </c>
      <c r="O123" s="341" t="s">
        <v>443</v>
      </c>
      <c r="P123" s="341">
        <v>20</v>
      </c>
      <c r="Q123" s="341" t="s">
        <v>435</v>
      </c>
      <c r="R123" s="341">
        <v>20</v>
      </c>
      <c r="S123" s="341">
        <v>1</v>
      </c>
      <c r="T123" s="341" t="s">
        <v>440</v>
      </c>
      <c r="U123" s="341">
        <v>1</v>
      </c>
      <c r="V123" s="341" t="s">
        <v>478</v>
      </c>
      <c r="W123" s="341" t="s">
        <v>488</v>
      </c>
      <c r="X123" s="293" t="s">
        <v>491</v>
      </c>
      <c r="Y123" s="293" t="s">
        <v>490</v>
      </c>
      <c r="Z123" s="293">
        <v>5</v>
      </c>
      <c r="AA123" s="293" t="s">
        <v>489</v>
      </c>
      <c r="AB123" s="341" t="s">
        <v>439</v>
      </c>
      <c r="AC123" s="341">
        <v>3</v>
      </c>
      <c r="AD123" s="341" t="s">
        <v>440</v>
      </c>
      <c r="AE123" s="301">
        <v>2</v>
      </c>
      <c r="AF123" s="349" t="s">
        <v>455</v>
      </c>
    </row>
    <row r="124" spans="8:32">
      <c r="H124" s="340" t="s">
        <v>137</v>
      </c>
      <c r="I124" s="341" t="s">
        <v>451</v>
      </c>
      <c r="J124" s="341" t="s">
        <v>452</v>
      </c>
      <c r="K124" s="341" t="s">
        <v>453</v>
      </c>
      <c r="L124" s="341" t="s">
        <v>454</v>
      </c>
      <c r="M124" s="341" t="s">
        <v>445</v>
      </c>
      <c r="N124" s="341">
        <v>0.15</v>
      </c>
      <c r="O124" s="341" t="s">
        <v>443</v>
      </c>
      <c r="P124" s="341">
        <v>20</v>
      </c>
      <c r="Q124" s="341" t="s">
        <v>435</v>
      </c>
      <c r="R124" s="341">
        <v>20</v>
      </c>
      <c r="S124" s="341">
        <v>1</v>
      </c>
      <c r="T124" s="341" t="s">
        <v>440</v>
      </c>
      <c r="U124" s="341">
        <v>1</v>
      </c>
      <c r="V124" s="341" t="s">
        <v>478</v>
      </c>
      <c r="W124" s="341" t="s">
        <v>488</v>
      </c>
      <c r="X124" s="293" t="s">
        <v>491</v>
      </c>
      <c r="Y124" s="293" t="s">
        <v>490</v>
      </c>
      <c r="Z124" s="293">
        <v>5</v>
      </c>
      <c r="AA124" s="293" t="s">
        <v>489</v>
      </c>
      <c r="AB124" s="341" t="s">
        <v>439</v>
      </c>
      <c r="AC124" s="341">
        <v>3</v>
      </c>
      <c r="AD124" s="341" t="s">
        <v>440</v>
      </c>
      <c r="AE124" s="301">
        <v>2</v>
      </c>
      <c r="AF124" s="349" t="s">
        <v>455</v>
      </c>
    </row>
    <row r="125" spans="8:32">
      <c r="H125" s="340" t="s">
        <v>311</v>
      </c>
      <c r="I125" s="341" t="s">
        <v>451</v>
      </c>
      <c r="J125" s="341" t="s">
        <v>452</v>
      </c>
      <c r="K125" s="341" t="s">
        <v>453</v>
      </c>
      <c r="L125" s="341" t="s">
        <v>454</v>
      </c>
      <c r="M125" s="341" t="s">
        <v>445</v>
      </c>
      <c r="N125" s="341">
        <v>0.15</v>
      </c>
      <c r="O125" s="341" t="s">
        <v>443</v>
      </c>
      <c r="P125" s="341">
        <v>20</v>
      </c>
      <c r="Q125" s="341" t="s">
        <v>435</v>
      </c>
      <c r="R125" s="341">
        <v>20</v>
      </c>
      <c r="S125" s="341">
        <v>1</v>
      </c>
      <c r="T125" s="341" t="s">
        <v>440</v>
      </c>
      <c r="U125" s="341">
        <v>1</v>
      </c>
      <c r="V125" s="341" t="s">
        <v>478</v>
      </c>
      <c r="W125" s="341" t="s">
        <v>488</v>
      </c>
      <c r="X125" s="293" t="s">
        <v>491</v>
      </c>
      <c r="Y125" s="293" t="s">
        <v>490</v>
      </c>
      <c r="Z125" s="293">
        <v>5</v>
      </c>
      <c r="AA125" s="293" t="s">
        <v>489</v>
      </c>
      <c r="AB125" s="341" t="s">
        <v>439</v>
      </c>
      <c r="AC125" s="341">
        <v>3</v>
      </c>
      <c r="AD125" s="341" t="s">
        <v>440</v>
      </c>
      <c r="AE125" s="301">
        <v>2</v>
      </c>
      <c r="AF125" s="349" t="s">
        <v>455</v>
      </c>
    </row>
    <row r="126" spans="8:32">
      <c r="H126" s="340" t="s">
        <v>138</v>
      </c>
      <c r="I126" s="341" t="s">
        <v>451</v>
      </c>
      <c r="J126" s="341" t="s">
        <v>452</v>
      </c>
      <c r="K126" s="341" t="s">
        <v>453</v>
      </c>
      <c r="L126" s="341" t="s">
        <v>454</v>
      </c>
      <c r="M126" s="341" t="s">
        <v>445</v>
      </c>
      <c r="N126" s="341">
        <v>0.15</v>
      </c>
      <c r="O126" s="341" t="s">
        <v>443</v>
      </c>
      <c r="P126" s="341">
        <v>20</v>
      </c>
      <c r="Q126" s="341" t="s">
        <v>435</v>
      </c>
      <c r="R126" s="341">
        <v>20</v>
      </c>
      <c r="S126" s="341">
        <v>1</v>
      </c>
      <c r="T126" s="341" t="s">
        <v>440</v>
      </c>
      <c r="U126" s="341">
        <v>1</v>
      </c>
      <c r="V126" s="341" t="s">
        <v>478</v>
      </c>
      <c r="W126" s="341" t="s">
        <v>488</v>
      </c>
      <c r="X126" s="293" t="s">
        <v>491</v>
      </c>
      <c r="Y126" s="293" t="s">
        <v>490</v>
      </c>
      <c r="Z126" s="293">
        <v>5</v>
      </c>
      <c r="AA126" s="293" t="s">
        <v>489</v>
      </c>
      <c r="AB126" s="341" t="s">
        <v>439</v>
      </c>
      <c r="AC126" s="341">
        <v>3</v>
      </c>
      <c r="AD126" s="341" t="s">
        <v>440</v>
      </c>
      <c r="AE126" s="301">
        <v>2</v>
      </c>
      <c r="AF126" s="349" t="s">
        <v>455</v>
      </c>
    </row>
    <row r="127" spans="8:32">
      <c r="H127" s="340" t="s">
        <v>86</v>
      </c>
      <c r="I127" s="341" t="s">
        <v>451</v>
      </c>
      <c r="J127" s="341" t="s">
        <v>452</v>
      </c>
      <c r="K127" s="341" t="s">
        <v>453</v>
      </c>
      <c r="L127" s="341" t="s">
        <v>454</v>
      </c>
      <c r="M127" s="341" t="s">
        <v>445</v>
      </c>
      <c r="N127" s="341">
        <v>0.15</v>
      </c>
      <c r="O127" s="341" t="s">
        <v>443</v>
      </c>
      <c r="P127" s="341">
        <v>20</v>
      </c>
      <c r="Q127" s="341" t="s">
        <v>435</v>
      </c>
      <c r="R127" s="341">
        <v>20</v>
      </c>
      <c r="S127" s="341">
        <v>1</v>
      </c>
      <c r="T127" s="341" t="s">
        <v>440</v>
      </c>
      <c r="U127" s="341">
        <v>1</v>
      </c>
      <c r="V127" s="341" t="s">
        <v>478</v>
      </c>
      <c r="W127" s="341" t="s">
        <v>488</v>
      </c>
      <c r="X127" s="293" t="s">
        <v>491</v>
      </c>
      <c r="Y127" s="293" t="s">
        <v>490</v>
      </c>
      <c r="Z127" s="293">
        <v>5</v>
      </c>
      <c r="AA127" s="293" t="s">
        <v>489</v>
      </c>
      <c r="AB127" s="341" t="s">
        <v>439</v>
      </c>
      <c r="AC127" s="341">
        <v>3</v>
      </c>
      <c r="AD127" s="341" t="s">
        <v>440</v>
      </c>
      <c r="AE127" s="301">
        <v>2</v>
      </c>
      <c r="AF127" s="349" t="s">
        <v>455</v>
      </c>
    </row>
    <row r="128" spans="8:32">
      <c r="H128" s="340" t="s">
        <v>87</v>
      </c>
      <c r="I128" s="341" t="s">
        <v>451</v>
      </c>
      <c r="J128" s="341" t="s">
        <v>452</v>
      </c>
      <c r="K128" s="341" t="s">
        <v>453</v>
      </c>
      <c r="L128" s="341" t="s">
        <v>454</v>
      </c>
      <c r="M128" s="341" t="s">
        <v>445</v>
      </c>
      <c r="N128" s="341">
        <v>0.15</v>
      </c>
      <c r="O128" s="341" t="s">
        <v>443</v>
      </c>
      <c r="P128" s="341">
        <v>20</v>
      </c>
      <c r="Q128" s="341" t="s">
        <v>435</v>
      </c>
      <c r="R128" s="341">
        <v>20</v>
      </c>
      <c r="S128" s="341">
        <v>1</v>
      </c>
      <c r="T128" s="341" t="s">
        <v>440</v>
      </c>
      <c r="U128" s="341">
        <v>1</v>
      </c>
      <c r="V128" s="341" t="s">
        <v>478</v>
      </c>
      <c r="W128" s="341" t="s">
        <v>488</v>
      </c>
      <c r="X128" s="293" t="s">
        <v>491</v>
      </c>
      <c r="Y128" s="293" t="s">
        <v>490</v>
      </c>
      <c r="Z128" s="293">
        <v>5</v>
      </c>
      <c r="AA128" s="293" t="s">
        <v>489</v>
      </c>
      <c r="AB128" s="341" t="s">
        <v>439</v>
      </c>
      <c r="AC128" s="341">
        <v>3</v>
      </c>
      <c r="AD128" s="341" t="s">
        <v>440</v>
      </c>
      <c r="AE128" s="301">
        <v>2</v>
      </c>
      <c r="AF128" s="349" t="s">
        <v>455</v>
      </c>
    </row>
    <row r="129" spans="8:32">
      <c r="H129" s="340" t="s">
        <v>88</v>
      </c>
      <c r="I129" s="341" t="s">
        <v>451</v>
      </c>
      <c r="J129" s="341" t="s">
        <v>452</v>
      </c>
      <c r="K129" s="341" t="s">
        <v>453</v>
      </c>
      <c r="L129" s="341" t="s">
        <v>454</v>
      </c>
      <c r="M129" s="341" t="s">
        <v>445</v>
      </c>
      <c r="N129" s="341">
        <v>0.15</v>
      </c>
      <c r="O129" s="341" t="s">
        <v>443</v>
      </c>
      <c r="P129" s="341">
        <v>20</v>
      </c>
      <c r="Q129" s="341" t="s">
        <v>435</v>
      </c>
      <c r="R129" s="341">
        <v>20</v>
      </c>
      <c r="S129" s="341">
        <v>1</v>
      </c>
      <c r="T129" s="341" t="s">
        <v>440</v>
      </c>
      <c r="U129" s="341">
        <v>1</v>
      </c>
      <c r="V129" s="341" t="s">
        <v>478</v>
      </c>
      <c r="W129" s="341" t="s">
        <v>488</v>
      </c>
      <c r="X129" s="293" t="s">
        <v>491</v>
      </c>
      <c r="Y129" s="293" t="s">
        <v>490</v>
      </c>
      <c r="Z129" s="293">
        <v>5</v>
      </c>
      <c r="AA129" s="293" t="s">
        <v>489</v>
      </c>
      <c r="AB129" s="341" t="s">
        <v>439</v>
      </c>
      <c r="AC129" s="341">
        <v>3</v>
      </c>
      <c r="AD129" s="341" t="s">
        <v>440</v>
      </c>
      <c r="AE129" s="301">
        <v>2</v>
      </c>
      <c r="AF129" s="349" t="s">
        <v>455</v>
      </c>
    </row>
    <row r="130" spans="8:32">
      <c r="H130" s="340" t="s">
        <v>139</v>
      </c>
      <c r="I130" s="341" t="s">
        <v>451</v>
      </c>
      <c r="J130" s="341" t="s">
        <v>452</v>
      </c>
      <c r="K130" s="341" t="s">
        <v>453</v>
      </c>
      <c r="L130" s="341" t="s">
        <v>454</v>
      </c>
      <c r="M130" s="341" t="s">
        <v>445</v>
      </c>
      <c r="N130" s="341">
        <v>0.15</v>
      </c>
      <c r="O130" s="341" t="s">
        <v>443</v>
      </c>
      <c r="P130" s="341">
        <v>20</v>
      </c>
      <c r="Q130" s="341" t="s">
        <v>435</v>
      </c>
      <c r="R130" s="341">
        <v>20</v>
      </c>
      <c r="S130" s="341">
        <v>1</v>
      </c>
      <c r="T130" s="341" t="s">
        <v>438</v>
      </c>
      <c r="U130" s="341">
        <v>1</v>
      </c>
      <c r="V130" s="341" t="s">
        <v>540</v>
      </c>
      <c r="W130" s="341" t="s">
        <v>541</v>
      </c>
      <c r="X130" s="341" t="s">
        <v>542</v>
      </c>
      <c r="Y130" s="341" t="s">
        <v>490</v>
      </c>
      <c r="Z130" s="293" t="s">
        <v>542</v>
      </c>
      <c r="AA130" s="293" t="s">
        <v>543</v>
      </c>
      <c r="AB130" s="341" t="s">
        <v>439</v>
      </c>
      <c r="AC130" s="341">
        <v>6</v>
      </c>
      <c r="AD130" s="341" t="s">
        <v>440</v>
      </c>
      <c r="AE130" s="301">
        <v>2</v>
      </c>
      <c r="AF130" s="349" t="s">
        <v>455</v>
      </c>
    </row>
    <row r="131" spans="8:32">
      <c r="H131" s="340" t="s">
        <v>89</v>
      </c>
      <c r="I131" s="341" t="s">
        <v>451</v>
      </c>
      <c r="J131" s="341" t="s">
        <v>452</v>
      </c>
      <c r="K131" s="341" t="s">
        <v>453</v>
      </c>
      <c r="L131" s="341" t="s">
        <v>454</v>
      </c>
      <c r="M131" s="341" t="s">
        <v>445</v>
      </c>
      <c r="N131" s="341">
        <v>0.15</v>
      </c>
      <c r="O131" s="341" t="s">
        <v>443</v>
      </c>
      <c r="P131" s="341">
        <v>20</v>
      </c>
      <c r="Q131" s="341" t="s">
        <v>435</v>
      </c>
      <c r="R131" s="341">
        <v>20</v>
      </c>
      <c r="S131" s="341">
        <v>1</v>
      </c>
      <c r="T131" s="341" t="s">
        <v>438</v>
      </c>
      <c r="U131" s="341">
        <v>1</v>
      </c>
      <c r="V131" s="341" t="s">
        <v>540</v>
      </c>
      <c r="W131" s="341" t="s">
        <v>541</v>
      </c>
      <c r="X131" s="341" t="s">
        <v>542</v>
      </c>
      <c r="Y131" s="341" t="s">
        <v>490</v>
      </c>
      <c r="Z131" s="293" t="s">
        <v>542</v>
      </c>
      <c r="AA131" s="293" t="s">
        <v>543</v>
      </c>
      <c r="AB131" s="341" t="s">
        <v>439</v>
      </c>
      <c r="AC131" s="341">
        <v>6</v>
      </c>
      <c r="AD131" s="341" t="s">
        <v>440</v>
      </c>
      <c r="AE131" s="301">
        <v>2</v>
      </c>
      <c r="AF131" s="349" t="s">
        <v>455</v>
      </c>
    </row>
    <row r="132" spans="8:32">
      <c r="H132" s="340" t="s">
        <v>140</v>
      </c>
      <c r="I132" s="341" t="s">
        <v>451</v>
      </c>
      <c r="J132" s="341" t="s">
        <v>452</v>
      </c>
      <c r="K132" s="341" t="s">
        <v>453</v>
      </c>
      <c r="L132" s="341" t="s">
        <v>454</v>
      </c>
      <c r="M132" s="341" t="s">
        <v>445</v>
      </c>
      <c r="N132" s="341">
        <v>0.15</v>
      </c>
      <c r="O132" s="341" t="s">
        <v>443</v>
      </c>
      <c r="P132" s="341">
        <v>20</v>
      </c>
      <c r="Q132" s="341" t="s">
        <v>435</v>
      </c>
      <c r="R132" s="341">
        <v>20</v>
      </c>
      <c r="S132" s="341">
        <v>1</v>
      </c>
      <c r="T132" s="341" t="s">
        <v>438</v>
      </c>
      <c r="U132" s="341">
        <v>1</v>
      </c>
      <c r="V132" s="341" t="s">
        <v>540</v>
      </c>
      <c r="W132" s="341" t="s">
        <v>541</v>
      </c>
      <c r="X132" s="341" t="s">
        <v>542</v>
      </c>
      <c r="Y132" s="341" t="s">
        <v>490</v>
      </c>
      <c r="Z132" s="293" t="s">
        <v>542</v>
      </c>
      <c r="AA132" s="293" t="s">
        <v>543</v>
      </c>
      <c r="AB132" s="341" t="s">
        <v>439</v>
      </c>
      <c r="AC132" s="341">
        <v>6</v>
      </c>
      <c r="AD132" s="341" t="s">
        <v>440</v>
      </c>
      <c r="AE132" s="301">
        <v>2</v>
      </c>
      <c r="AF132" s="349" t="s">
        <v>455</v>
      </c>
    </row>
    <row r="133" spans="8:32">
      <c r="H133" s="340" t="s">
        <v>141</v>
      </c>
      <c r="I133" s="341" t="s">
        <v>451</v>
      </c>
      <c r="J133" s="341" t="s">
        <v>452</v>
      </c>
      <c r="K133" s="341" t="s">
        <v>453</v>
      </c>
      <c r="L133" s="341" t="s">
        <v>454</v>
      </c>
      <c r="M133" s="341" t="s">
        <v>445</v>
      </c>
      <c r="N133" s="341">
        <v>0.15</v>
      </c>
      <c r="O133" s="341" t="s">
        <v>443</v>
      </c>
      <c r="P133" s="341">
        <v>20</v>
      </c>
      <c r="Q133" s="341" t="s">
        <v>435</v>
      </c>
      <c r="R133" s="341">
        <v>20</v>
      </c>
      <c r="S133" s="341">
        <v>1</v>
      </c>
      <c r="T133" s="341" t="s">
        <v>438</v>
      </c>
      <c r="U133" s="341">
        <v>1</v>
      </c>
      <c r="V133" s="341" t="s">
        <v>540</v>
      </c>
      <c r="W133" s="341" t="s">
        <v>541</v>
      </c>
      <c r="X133" s="341" t="s">
        <v>542</v>
      </c>
      <c r="Y133" s="341" t="s">
        <v>490</v>
      </c>
      <c r="Z133" s="293" t="s">
        <v>542</v>
      </c>
      <c r="AA133" s="293" t="s">
        <v>543</v>
      </c>
      <c r="AB133" s="341" t="s">
        <v>439</v>
      </c>
      <c r="AC133" s="341">
        <v>6</v>
      </c>
      <c r="AD133" s="341" t="s">
        <v>440</v>
      </c>
      <c r="AE133" s="301">
        <v>2</v>
      </c>
      <c r="AF133" s="349" t="s">
        <v>455</v>
      </c>
    </row>
    <row r="134" spans="8:32">
      <c r="H134" s="340" t="s">
        <v>142</v>
      </c>
      <c r="I134" s="341" t="s">
        <v>451</v>
      </c>
      <c r="J134" s="341" t="s">
        <v>452</v>
      </c>
      <c r="K134" s="341" t="s">
        <v>453</v>
      </c>
      <c r="L134" s="341" t="s">
        <v>454</v>
      </c>
      <c r="M134" s="341" t="s">
        <v>445</v>
      </c>
      <c r="N134" s="341">
        <v>0.15</v>
      </c>
      <c r="O134" s="341" t="s">
        <v>443</v>
      </c>
      <c r="P134" s="341">
        <v>20</v>
      </c>
      <c r="Q134" s="341" t="s">
        <v>435</v>
      </c>
      <c r="R134" s="341">
        <v>20</v>
      </c>
      <c r="S134" s="341">
        <v>1</v>
      </c>
      <c r="T134" s="341" t="s">
        <v>438</v>
      </c>
      <c r="U134" s="341">
        <v>1</v>
      </c>
      <c r="V134" s="341" t="s">
        <v>540</v>
      </c>
      <c r="W134" s="341" t="s">
        <v>541</v>
      </c>
      <c r="X134" s="341" t="s">
        <v>542</v>
      </c>
      <c r="Y134" s="341" t="s">
        <v>490</v>
      </c>
      <c r="Z134" s="293" t="s">
        <v>542</v>
      </c>
      <c r="AA134" s="293" t="s">
        <v>543</v>
      </c>
      <c r="AB134" s="341" t="s">
        <v>439</v>
      </c>
      <c r="AC134" s="341">
        <v>6</v>
      </c>
      <c r="AD134" s="341" t="s">
        <v>440</v>
      </c>
      <c r="AE134" s="301">
        <v>2</v>
      </c>
      <c r="AF134" s="349" t="s">
        <v>455</v>
      </c>
    </row>
    <row r="135" spans="8:32">
      <c r="H135" s="340" t="s">
        <v>143</v>
      </c>
      <c r="I135" s="341" t="s">
        <v>451</v>
      </c>
      <c r="J135" s="341" t="s">
        <v>452</v>
      </c>
      <c r="K135" s="341" t="s">
        <v>453</v>
      </c>
      <c r="L135" s="341" t="s">
        <v>454</v>
      </c>
      <c r="M135" s="341" t="s">
        <v>445</v>
      </c>
      <c r="N135" s="341">
        <v>0.15</v>
      </c>
      <c r="O135" s="341" t="s">
        <v>443</v>
      </c>
      <c r="P135" s="341">
        <v>20</v>
      </c>
      <c r="Q135" s="341" t="s">
        <v>435</v>
      </c>
      <c r="R135" s="341">
        <v>20</v>
      </c>
      <c r="S135" s="341">
        <v>1</v>
      </c>
      <c r="T135" s="341" t="s">
        <v>438</v>
      </c>
      <c r="U135" s="341">
        <v>1</v>
      </c>
      <c r="V135" s="341" t="s">
        <v>540</v>
      </c>
      <c r="W135" s="341" t="s">
        <v>541</v>
      </c>
      <c r="X135" s="341" t="s">
        <v>542</v>
      </c>
      <c r="Y135" s="341" t="s">
        <v>490</v>
      </c>
      <c r="Z135" s="293" t="s">
        <v>542</v>
      </c>
      <c r="AA135" s="293" t="s">
        <v>543</v>
      </c>
      <c r="AB135" s="341" t="s">
        <v>439</v>
      </c>
      <c r="AC135" s="341">
        <v>6</v>
      </c>
      <c r="AD135" s="341" t="s">
        <v>440</v>
      </c>
      <c r="AE135" s="301">
        <v>2</v>
      </c>
      <c r="AF135" s="349" t="s">
        <v>455</v>
      </c>
    </row>
    <row r="136" spans="8:32">
      <c r="H136" s="340" t="s">
        <v>144</v>
      </c>
      <c r="I136" s="341" t="s">
        <v>451</v>
      </c>
      <c r="J136" s="341" t="s">
        <v>452</v>
      </c>
      <c r="K136" s="341" t="s">
        <v>453</v>
      </c>
      <c r="L136" s="341" t="s">
        <v>454</v>
      </c>
      <c r="M136" s="341" t="s">
        <v>445</v>
      </c>
      <c r="N136" s="341">
        <v>0.15</v>
      </c>
      <c r="O136" s="341" t="s">
        <v>443</v>
      </c>
      <c r="P136" s="341">
        <v>20</v>
      </c>
      <c r="Q136" s="341" t="s">
        <v>435</v>
      </c>
      <c r="R136" s="341">
        <v>20</v>
      </c>
      <c r="S136" s="341">
        <v>1</v>
      </c>
      <c r="T136" s="341" t="s">
        <v>438</v>
      </c>
      <c r="U136" s="341">
        <v>1</v>
      </c>
      <c r="V136" s="341" t="s">
        <v>540</v>
      </c>
      <c r="W136" s="341" t="s">
        <v>541</v>
      </c>
      <c r="X136" s="341" t="s">
        <v>542</v>
      </c>
      <c r="Y136" s="341" t="s">
        <v>490</v>
      </c>
      <c r="Z136" s="293" t="s">
        <v>542</v>
      </c>
      <c r="AA136" s="293" t="s">
        <v>543</v>
      </c>
      <c r="AB136" s="341" t="s">
        <v>439</v>
      </c>
      <c r="AC136" s="341">
        <v>6</v>
      </c>
      <c r="AD136" s="341" t="s">
        <v>440</v>
      </c>
      <c r="AE136" s="301">
        <v>2</v>
      </c>
      <c r="AF136" s="349" t="s">
        <v>455</v>
      </c>
    </row>
    <row r="137" spans="8:32">
      <c r="H137" s="340" t="s">
        <v>145</v>
      </c>
      <c r="I137" s="341" t="s">
        <v>451</v>
      </c>
      <c r="J137" s="341" t="s">
        <v>452</v>
      </c>
      <c r="K137" s="341" t="s">
        <v>453</v>
      </c>
      <c r="L137" s="341" t="s">
        <v>454</v>
      </c>
      <c r="M137" s="341" t="s">
        <v>445</v>
      </c>
      <c r="N137" s="341">
        <v>0.15</v>
      </c>
      <c r="O137" s="341" t="s">
        <v>443</v>
      </c>
      <c r="P137" s="341">
        <v>20</v>
      </c>
      <c r="Q137" s="341" t="s">
        <v>435</v>
      </c>
      <c r="R137" s="341">
        <v>20</v>
      </c>
      <c r="S137" s="341">
        <v>1</v>
      </c>
      <c r="T137" s="341" t="s">
        <v>438</v>
      </c>
      <c r="U137" s="341">
        <v>1</v>
      </c>
      <c r="V137" s="341" t="s">
        <v>540</v>
      </c>
      <c r="W137" s="341" t="s">
        <v>541</v>
      </c>
      <c r="X137" s="341" t="s">
        <v>542</v>
      </c>
      <c r="Y137" s="341" t="s">
        <v>490</v>
      </c>
      <c r="Z137" s="293" t="s">
        <v>542</v>
      </c>
      <c r="AA137" s="293" t="s">
        <v>543</v>
      </c>
      <c r="AB137" s="341" t="s">
        <v>439</v>
      </c>
      <c r="AC137" s="341">
        <v>6</v>
      </c>
      <c r="AD137" s="341" t="s">
        <v>440</v>
      </c>
      <c r="AE137" s="301">
        <v>2</v>
      </c>
      <c r="AF137" s="349" t="s">
        <v>455</v>
      </c>
    </row>
    <row r="138" spans="8:32">
      <c r="H138" s="340" t="s">
        <v>310</v>
      </c>
      <c r="I138" s="341" t="s">
        <v>451</v>
      </c>
      <c r="J138" s="341" t="s">
        <v>452</v>
      </c>
      <c r="K138" s="341" t="s">
        <v>453</v>
      </c>
      <c r="L138" s="341" t="s">
        <v>454</v>
      </c>
      <c r="M138" s="341" t="s">
        <v>445</v>
      </c>
      <c r="N138" s="341">
        <v>0.15</v>
      </c>
      <c r="O138" s="341" t="s">
        <v>443</v>
      </c>
      <c r="P138" s="341">
        <v>20</v>
      </c>
      <c r="Q138" s="341" t="s">
        <v>435</v>
      </c>
      <c r="R138" s="341">
        <v>20</v>
      </c>
      <c r="S138" s="341">
        <v>1</v>
      </c>
      <c r="T138" s="341" t="s">
        <v>438</v>
      </c>
      <c r="U138" s="341">
        <v>1</v>
      </c>
      <c r="V138" s="341" t="s">
        <v>540</v>
      </c>
      <c r="W138" s="341" t="s">
        <v>541</v>
      </c>
      <c r="X138" s="341" t="s">
        <v>542</v>
      </c>
      <c r="Y138" s="341" t="s">
        <v>490</v>
      </c>
      <c r="Z138" s="293" t="s">
        <v>542</v>
      </c>
      <c r="AA138" s="293" t="s">
        <v>543</v>
      </c>
      <c r="AB138" s="341" t="s">
        <v>439</v>
      </c>
      <c r="AC138" s="341">
        <v>6</v>
      </c>
      <c r="AD138" s="341" t="s">
        <v>440</v>
      </c>
      <c r="AE138" s="301">
        <v>2</v>
      </c>
      <c r="AF138" s="349" t="s">
        <v>455</v>
      </c>
    </row>
    <row r="139" spans="8:32">
      <c r="H139" s="340" t="s">
        <v>309</v>
      </c>
      <c r="I139" s="341" t="s">
        <v>451</v>
      </c>
      <c r="J139" s="341" t="s">
        <v>452</v>
      </c>
      <c r="K139" s="341" t="s">
        <v>453</v>
      </c>
      <c r="L139" s="341" t="s">
        <v>454</v>
      </c>
      <c r="M139" s="341" t="s">
        <v>445</v>
      </c>
      <c r="N139" s="341">
        <v>0.15</v>
      </c>
      <c r="O139" s="341" t="s">
        <v>443</v>
      </c>
      <c r="P139" s="341">
        <v>20</v>
      </c>
      <c r="Q139" s="341" t="s">
        <v>435</v>
      </c>
      <c r="R139" s="341">
        <v>20</v>
      </c>
      <c r="S139" s="341">
        <v>1</v>
      </c>
      <c r="T139" s="341" t="s">
        <v>438</v>
      </c>
      <c r="U139" s="341">
        <v>1</v>
      </c>
      <c r="V139" s="341" t="s">
        <v>540</v>
      </c>
      <c r="W139" s="341" t="s">
        <v>541</v>
      </c>
      <c r="X139" s="341" t="s">
        <v>542</v>
      </c>
      <c r="Y139" s="341" t="s">
        <v>490</v>
      </c>
      <c r="Z139" s="293" t="s">
        <v>542</v>
      </c>
      <c r="AA139" s="293" t="s">
        <v>543</v>
      </c>
      <c r="AB139" s="341" t="s">
        <v>439</v>
      </c>
      <c r="AC139" s="341">
        <v>6</v>
      </c>
      <c r="AD139" s="341" t="s">
        <v>440</v>
      </c>
      <c r="AE139" s="301">
        <v>2</v>
      </c>
      <c r="AF139" s="349" t="s">
        <v>455</v>
      </c>
    </row>
    <row r="140" spans="8:32">
      <c r="H140" s="340" t="s">
        <v>308</v>
      </c>
      <c r="I140" s="341" t="s">
        <v>451</v>
      </c>
      <c r="J140" s="341" t="s">
        <v>452</v>
      </c>
      <c r="K140" s="341" t="s">
        <v>453</v>
      </c>
      <c r="L140" s="341" t="s">
        <v>454</v>
      </c>
      <c r="M140" s="341" t="s">
        <v>445</v>
      </c>
      <c r="N140" s="341">
        <v>0.15</v>
      </c>
      <c r="O140" s="341" t="s">
        <v>443</v>
      </c>
      <c r="P140" s="341">
        <v>20</v>
      </c>
      <c r="Q140" s="341" t="s">
        <v>435</v>
      </c>
      <c r="R140" s="341">
        <v>20</v>
      </c>
      <c r="S140" s="341">
        <v>1</v>
      </c>
      <c r="T140" s="341" t="s">
        <v>438</v>
      </c>
      <c r="U140" s="341">
        <v>1</v>
      </c>
      <c r="V140" s="341" t="s">
        <v>540</v>
      </c>
      <c r="W140" s="341" t="s">
        <v>541</v>
      </c>
      <c r="X140" s="341" t="s">
        <v>542</v>
      </c>
      <c r="Y140" s="341" t="s">
        <v>490</v>
      </c>
      <c r="Z140" s="293" t="s">
        <v>542</v>
      </c>
      <c r="AA140" s="293" t="s">
        <v>543</v>
      </c>
      <c r="AB140" s="341" t="s">
        <v>439</v>
      </c>
      <c r="AC140" s="341">
        <v>6</v>
      </c>
      <c r="AD140" s="341" t="s">
        <v>440</v>
      </c>
      <c r="AE140" s="301">
        <v>2</v>
      </c>
      <c r="AF140" s="349" t="s">
        <v>455</v>
      </c>
    </row>
    <row r="141" spans="8:32">
      <c r="H141" s="340" t="s">
        <v>146</v>
      </c>
      <c r="I141" s="341" t="s">
        <v>451</v>
      </c>
      <c r="J141" s="341" t="s">
        <v>452</v>
      </c>
      <c r="K141" s="341" t="s">
        <v>453</v>
      </c>
      <c r="L141" s="341" t="s">
        <v>454</v>
      </c>
      <c r="M141" s="341" t="s">
        <v>445</v>
      </c>
      <c r="N141" s="341">
        <v>0.15</v>
      </c>
      <c r="O141" s="341" t="s">
        <v>443</v>
      </c>
      <c r="P141" s="341">
        <v>20</v>
      </c>
      <c r="Q141" s="341" t="s">
        <v>435</v>
      </c>
      <c r="R141" s="341">
        <v>20</v>
      </c>
      <c r="S141" s="341">
        <v>1</v>
      </c>
      <c r="T141" s="341" t="s">
        <v>438</v>
      </c>
      <c r="U141" s="341">
        <v>1</v>
      </c>
      <c r="V141" s="341" t="s">
        <v>540</v>
      </c>
      <c r="W141" s="341" t="s">
        <v>541</v>
      </c>
      <c r="X141" s="341" t="s">
        <v>542</v>
      </c>
      <c r="Y141" s="341" t="s">
        <v>490</v>
      </c>
      <c r="Z141" s="293" t="s">
        <v>542</v>
      </c>
      <c r="AA141" s="293" t="s">
        <v>543</v>
      </c>
      <c r="AB141" s="341" t="s">
        <v>439</v>
      </c>
      <c r="AC141" s="341">
        <v>6</v>
      </c>
      <c r="AD141" s="341" t="s">
        <v>440</v>
      </c>
      <c r="AE141" s="301">
        <v>2</v>
      </c>
      <c r="AF141" s="349" t="s">
        <v>455</v>
      </c>
    </row>
    <row r="142" spans="8:32">
      <c r="H142" s="340" t="s">
        <v>91</v>
      </c>
      <c r="I142" s="341" t="s">
        <v>451</v>
      </c>
      <c r="J142" s="341" t="s">
        <v>452</v>
      </c>
      <c r="K142" s="341" t="s">
        <v>453</v>
      </c>
      <c r="L142" s="341" t="s">
        <v>454</v>
      </c>
      <c r="M142" s="341" t="s">
        <v>445</v>
      </c>
      <c r="N142" s="341">
        <v>0.15</v>
      </c>
      <c r="O142" s="341" t="s">
        <v>443</v>
      </c>
      <c r="P142" s="341">
        <v>20</v>
      </c>
      <c r="Q142" s="341" t="s">
        <v>435</v>
      </c>
      <c r="R142" s="341">
        <v>20</v>
      </c>
      <c r="S142" s="341">
        <v>1</v>
      </c>
      <c r="T142" s="341" t="s">
        <v>440</v>
      </c>
      <c r="U142" s="341">
        <v>1</v>
      </c>
      <c r="V142" s="341" t="s">
        <v>478</v>
      </c>
      <c r="W142" s="341" t="s">
        <v>488</v>
      </c>
      <c r="X142" s="293" t="s">
        <v>491</v>
      </c>
      <c r="Y142" s="293" t="s">
        <v>490</v>
      </c>
      <c r="Z142" s="293">
        <v>5</v>
      </c>
      <c r="AA142" s="293" t="s">
        <v>489</v>
      </c>
      <c r="AB142" s="341" t="s">
        <v>439</v>
      </c>
      <c r="AC142" s="341">
        <v>3</v>
      </c>
      <c r="AD142" s="341" t="s">
        <v>440</v>
      </c>
      <c r="AE142" s="301">
        <v>2</v>
      </c>
      <c r="AF142" s="349" t="s">
        <v>455</v>
      </c>
    </row>
    <row r="143" spans="8:32">
      <c r="H143" s="340" t="s">
        <v>306</v>
      </c>
      <c r="I143" s="341" t="s">
        <v>451</v>
      </c>
      <c r="J143" s="341" t="s">
        <v>452</v>
      </c>
      <c r="K143" s="341" t="s">
        <v>453</v>
      </c>
      <c r="L143" s="341" t="s">
        <v>454</v>
      </c>
      <c r="M143" s="341" t="s">
        <v>445</v>
      </c>
      <c r="N143" s="341">
        <v>0.15</v>
      </c>
      <c r="O143" s="341" t="s">
        <v>443</v>
      </c>
      <c r="P143" s="341">
        <v>20</v>
      </c>
      <c r="Q143" s="341" t="s">
        <v>435</v>
      </c>
      <c r="R143" s="341">
        <v>20</v>
      </c>
      <c r="S143" s="341">
        <v>1</v>
      </c>
      <c r="T143" s="341" t="s">
        <v>440</v>
      </c>
      <c r="U143" s="341">
        <v>1</v>
      </c>
      <c r="V143" s="341" t="s">
        <v>478</v>
      </c>
      <c r="W143" s="341" t="s">
        <v>488</v>
      </c>
      <c r="X143" s="293" t="s">
        <v>491</v>
      </c>
      <c r="Y143" s="293" t="s">
        <v>490</v>
      </c>
      <c r="Z143" s="293">
        <v>5</v>
      </c>
      <c r="AA143" s="293" t="s">
        <v>489</v>
      </c>
      <c r="AB143" s="341" t="s">
        <v>439</v>
      </c>
      <c r="AC143" s="341">
        <v>3</v>
      </c>
      <c r="AD143" s="341" t="s">
        <v>440</v>
      </c>
      <c r="AE143" s="301">
        <v>2</v>
      </c>
      <c r="AF143" s="349" t="s">
        <v>455</v>
      </c>
    </row>
    <row r="144" spans="8:32">
      <c r="H144" s="340" t="s">
        <v>92</v>
      </c>
      <c r="I144" s="341" t="s">
        <v>451</v>
      </c>
      <c r="J144" s="341" t="s">
        <v>452</v>
      </c>
      <c r="K144" s="341" t="s">
        <v>453</v>
      </c>
      <c r="L144" s="341" t="s">
        <v>454</v>
      </c>
      <c r="M144" s="341" t="s">
        <v>445</v>
      </c>
      <c r="N144" s="341">
        <v>0.15</v>
      </c>
      <c r="O144" s="341" t="s">
        <v>443</v>
      </c>
      <c r="P144" s="341">
        <v>20</v>
      </c>
      <c r="Q144" s="341" t="s">
        <v>435</v>
      </c>
      <c r="R144" s="341">
        <v>20</v>
      </c>
      <c r="S144" s="341">
        <v>1</v>
      </c>
      <c r="T144" s="341" t="s">
        <v>440</v>
      </c>
      <c r="U144" s="341">
        <v>1</v>
      </c>
      <c r="V144" s="341" t="s">
        <v>478</v>
      </c>
      <c r="W144" s="341" t="s">
        <v>488</v>
      </c>
      <c r="X144" s="293" t="s">
        <v>491</v>
      </c>
      <c r="Y144" s="293" t="s">
        <v>490</v>
      </c>
      <c r="Z144" s="293">
        <v>5</v>
      </c>
      <c r="AA144" s="293" t="s">
        <v>489</v>
      </c>
      <c r="AB144" s="341" t="s">
        <v>439</v>
      </c>
      <c r="AC144" s="341">
        <v>3</v>
      </c>
      <c r="AD144" s="341" t="s">
        <v>440</v>
      </c>
      <c r="AE144" s="301">
        <v>2</v>
      </c>
      <c r="AF144" s="349" t="s">
        <v>455</v>
      </c>
    </row>
    <row r="145" spans="8:32">
      <c r="H145" s="340" t="s">
        <v>93</v>
      </c>
      <c r="I145" s="341" t="s">
        <v>451</v>
      </c>
      <c r="J145" s="341" t="s">
        <v>452</v>
      </c>
      <c r="K145" s="341" t="s">
        <v>453</v>
      </c>
      <c r="L145" s="341" t="s">
        <v>454</v>
      </c>
      <c r="M145" s="341" t="s">
        <v>445</v>
      </c>
      <c r="N145" s="341">
        <v>0.15</v>
      </c>
      <c r="O145" s="341" t="s">
        <v>443</v>
      </c>
      <c r="P145" s="341">
        <v>20</v>
      </c>
      <c r="Q145" s="341" t="s">
        <v>435</v>
      </c>
      <c r="R145" s="341">
        <v>20</v>
      </c>
      <c r="S145" s="341">
        <v>1</v>
      </c>
      <c r="T145" s="341" t="s">
        <v>440</v>
      </c>
      <c r="U145" s="341">
        <v>1</v>
      </c>
      <c r="V145" s="341" t="s">
        <v>478</v>
      </c>
      <c r="W145" s="341" t="s">
        <v>488</v>
      </c>
      <c r="X145" s="293" t="s">
        <v>491</v>
      </c>
      <c r="Y145" s="293" t="s">
        <v>490</v>
      </c>
      <c r="Z145" s="293">
        <v>5</v>
      </c>
      <c r="AA145" s="293" t="s">
        <v>489</v>
      </c>
      <c r="AB145" s="341" t="s">
        <v>439</v>
      </c>
      <c r="AC145" s="341">
        <v>3</v>
      </c>
      <c r="AD145" s="341" t="s">
        <v>440</v>
      </c>
      <c r="AE145" s="301">
        <v>2</v>
      </c>
      <c r="AF145" s="349" t="s">
        <v>455</v>
      </c>
    </row>
    <row r="146" spans="8:32">
      <c r="H146" s="340" t="s">
        <v>94</v>
      </c>
      <c r="I146" s="341" t="s">
        <v>451</v>
      </c>
      <c r="J146" s="341" t="s">
        <v>452</v>
      </c>
      <c r="K146" s="341" t="s">
        <v>453</v>
      </c>
      <c r="L146" s="341" t="s">
        <v>454</v>
      </c>
      <c r="M146" s="341" t="s">
        <v>445</v>
      </c>
      <c r="N146" s="341">
        <v>0.15</v>
      </c>
      <c r="O146" s="341" t="s">
        <v>443</v>
      </c>
      <c r="P146" s="341">
        <v>20</v>
      </c>
      <c r="Q146" s="341" t="s">
        <v>435</v>
      </c>
      <c r="R146" s="341">
        <v>20</v>
      </c>
      <c r="S146" s="341">
        <v>1</v>
      </c>
      <c r="T146" s="341" t="s">
        <v>438</v>
      </c>
      <c r="U146" s="341">
        <v>1</v>
      </c>
      <c r="V146" s="341" t="s">
        <v>540</v>
      </c>
      <c r="W146" s="341" t="s">
        <v>541</v>
      </c>
      <c r="X146" s="341" t="s">
        <v>542</v>
      </c>
      <c r="Y146" s="341" t="s">
        <v>490</v>
      </c>
      <c r="Z146" s="293" t="s">
        <v>542</v>
      </c>
      <c r="AA146" s="293" t="s">
        <v>543</v>
      </c>
      <c r="AB146" s="341" t="s">
        <v>439</v>
      </c>
      <c r="AC146" s="341">
        <v>6</v>
      </c>
      <c r="AD146" s="341" t="s">
        <v>440</v>
      </c>
      <c r="AE146" s="301">
        <v>2</v>
      </c>
      <c r="AF146" s="349" t="s">
        <v>455</v>
      </c>
    </row>
    <row r="147" spans="8:32">
      <c r="H147" s="340" t="s">
        <v>97</v>
      </c>
      <c r="I147" s="341" t="s">
        <v>451</v>
      </c>
      <c r="J147" s="341" t="s">
        <v>452</v>
      </c>
      <c r="K147" s="341" t="s">
        <v>453</v>
      </c>
      <c r="L147" s="341" t="s">
        <v>454</v>
      </c>
      <c r="M147" s="341" t="s">
        <v>445</v>
      </c>
      <c r="N147" s="341">
        <v>0.15</v>
      </c>
      <c r="O147" s="341" t="s">
        <v>443</v>
      </c>
      <c r="P147" s="341">
        <v>20</v>
      </c>
      <c r="Q147" s="341" t="s">
        <v>435</v>
      </c>
      <c r="R147" s="341">
        <v>20</v>
      </c>
      <c r="S147" s="341">
        <v>1</v>
      </c>
      <c r="T147" s="341" t="s">
        <v>440</v>
      </c>
      <c r="U147" s="341">
        <v>1</v>
      </c>
      <c r="V147" s="341" t="s">
        <v>478</v>
      </c>
      <c r="W147" s="341" t="s">
        <v>488</v>
      </c>
      <c r="X147" s="293" t="s">
        <v>491</v>
      </c>
      <c r="Y147" s="293" t="s">
        <v>490</v>
      </c>
      <c r="Z147" s="293">
        <v>5</v>
      </c>
      <c r="AA147" s="293" t="s">
        <v>489</v>
      </c>
      <c r="AB147" s="341" t="s">
        <v>439</v>
      </c>
      <c r="AC147" s="341">
        <v>3</v>
      </c>
      <c r="AD147" s="341" t="s">
        <v>440</v>
      </c>
      <c r="AE147" s="301">
        <v>2</v>
      </c>
      <c r="AF147" s="349" t="s">
        <v>455</v>
      </c>
    </row>
    <row r="148" spans="8:32">
      <c r="H148" s="340" t="s">
        <v>98</v>
      </c>
      <c r="I148" s="341" t="s">
        <v>451</v>
      </c>
      <c r="J148" s="341" t="s">
        <v>452</v>
      </c>
      <c r="K148" s="341" t="s">
        <v>453</v>
      </c>
      <c r="L148" s="341" t="s">
        <v>454</v>
      </c>
      <c r="M148" s="341" t="s">
        <v>445</v>
      </c>
      <c r="N148" s="341">
        <v>0.15</v>
      </c>
      <c r="O148" s="341" t="s">
        <v>443</v>
      </c>
      <c r="P148" s="341">
        <v>20</v>
      </c>
      <c r="Q148" s="341" t="s">
        <v>435</v>
      </c>
      <c r="R148" s="341">
        <v>20</v>
      </c>
      <c r="S148" s="341">
        <v>1</v>
      </c>
      <c r="T148" s="341" t="s">
        <v>440</v>
      </c>
      <c r="U148" s="341">
        <v>1</v>
      </c>
      <c r="V148" s="341" t="s">
        <v>478</v>
      </c>
      <c r="W148" s="341" t="s">
        <v>488</v>
      </c>
      <c r="X148" s="293" t="s">
        <v>491</v>
      </c>
      <c r="Y148" s="293" t="s">
        <v>490</v>
      </c>
      <c r="Z148" s="293">
        <v>5</v>
      </c>
      <c r="AA148" s="293" t="s">
        <v>489</v>
      </c>
      <c r="AB148" s="341" t="s">
        <v>439</v>
      </c>
      <c r="AC148" s="341">
        <v>3</v>
      </c>
      <c r="AD148" s="341" t="s">
        <v>440</v>
      </c>
      <c r="AE148" s="301">
        <v>2</v>
      </c>
      <c r="AF148" s="349" t="s">
        <v>455</v>
      </c>
    </row>
    <row r="149" spans="8:32">
      <c r="H149" s="340" t="s">
        <v>104</v>
      </c>
      <c r="I149" s="341" t="s">
        <v>451</v>
      </c>
      <c r="J149" s="341" t="s">
        <v>452</v>
      </c>
      <c r="K149" s="341" t="s">
        <v>453</v>
      </c>
      <c r="L149" s="341" t="s">
        <v>454</v>
      </c>
      <c r="M149" s="341" t="s">
        <v>445</v>
      </c>
      <c r="N149" s="341">
        <v>0.15</v>
      </c>
      <c r="O149" s="341" t="s">
        <v>443</v>
      </c>
      <c r="P149" s="341">
        <v>20</v>
      </c>
      <c r="Q149" s="341" t="s">
        <v>435</v>
      </c>
      <c r="R149" s="341">
        <v>20</v>
      </c>
      <c r="S149" s="341">
        <v>1</v>
      </c>
      <c r="T149" s="341" t="s">
        <v>440</v>
      </c>
      <c r="U149" s="341">
        <v>1</v>
      </c>
      <c r="V149" s="341" t="s">
        <v>478</v>
      </c>
      <c r="W149" s="341" t="s">
        <v>488</v>
      </c>
      <c r="X149" s="293" t="s">
        <v>491</v>
      </c>
      <c r="Y149" s="293" t="s">
        <v>490</v>
      </c>
      <c r="Z149" s="293">
        <v>5</v>
      </c>
      <c r="AA149" s="293" t="s">
        <v>489</v>
      </c>
      <c r="AB149" s="341" t="s">
        <v>439</v>
      </c>
      <c r="AC149" s="341">
        <v>3</v>
      </c>
      <c r="AD149" s="341" t="s">
        <v>440</v>
      </c>
      <c r="AE149" s="301">
        <v>2</v>
      </c>
      <c r="AF149" s="349" t="s">
        <v>455</v>
      </c>
    </row>
    <row r="150" spans="8:32">
      <c r="H150" s="340" t="s">
        <v>303</v>
      </c>
      <c r="I150" s="341" t="s">
        <v>451</v>
      </c>
      <c r="J150" s="341" t="s">
        <v>452</v>
      </c>
      <c r="K150" s="341" t="s">
        <v>453</v>
      </c>
      <c r="L150" s="341" t="s">
        <v>454</v>
      </c>
      <c r="M150" s="341" t="s">
        <v>445</v>
      </c>
      <c r="N150" s="341">
        <v>0.15</v>
      </c>
      <c r="O150" s="341" t="s">
        <v>443</v>
      </c>
      <c r="P150" s="341">
        <v>20</v>
      </c>
      <c r="Q150" s="341" t="s">
        <v>435</v>
      </c>
      <c r="R150" s="341">
        <v>20</v>
      </c>
      <c r="S150" s="341">
        <v>1</v>
      </c>
      <c r="T150" s="341" t="s">
        <v>440</v>
      </c>
      <c r="U150" s="341">
        <v>1</v>
      </c>
      <c r="V150" s="341" t="s">
        <v>478</v>
      </c>
      <c r="W150" s="341" t="s">
        <v>488</v>
      </c>
      <c r="X150" s="293" t="s">
        <v>491</v>
      </c>
      <c r="Y150" s="293" t="s">
        <v>490</v>
      </c>
      <c r="Z150" s="293">
        <v>5</v>
      </c>
      <c r="AA150" s="293" t="s">
        <v>489</v>
      </c>
      <c r="AB150" s="341" t="s">
        <v>439</v>
      </c>
      <c r="AC150" s="341">
        <v>3</v>
      </c>
      <c r="AD150" s="341" t="s">
        <v>440</v>
      </c>
      <c r="AE150" s="301">
        <v>2</v>
      </c>
      <c r="AF150" s="349" t="s">
        <v>455</v>
      </c>
    </row>
    <row r="151" spans="8:32">
      <c r="H151" s="340" t="s">
        <v>105</v>
      </c>
      <c r="I151" s="341" t="s">
        <v>451</v>
      </c>
      <c r="J151" s="341" t="s">
        <v>452</v>
      </c>
      <c r="K151" s="341" t="s">
        <v>453</v>
      </c>
      <c r="L151" s="341" t="s">
        <v>454</v>
      </c>
      <c r="M151" s="341" t="s">
        <v>445</v>
      </c>
      <c r="N151" s="341">
        <v>0.15</v>
      </c>
      <c r="O151" s="341" t="s">
        <v>443</v>
      </c>
      <c r="P151" s="341">
        <v>20</v>
      </c>
      <c r="Q151" s="341" t="s">
        <v>435</v>
      </c>
      <c r="R151" s="341">
        <v>20</v>
      </c>
      <c r="S151" s="341">
        <v>1</v>
      </c>
      <c r="T151" s="341" t="s">
        <v>440</v>
      </c>
      <c r="U151" s="341">
        <v>1</v>
      </c>
      <c r="V151" s="341" t="s">
        <v>478</v>
      </c>
      <c r="W151" s="341" t="s">
        <v>488</v>
      </c>
      <c r="X151" s="293" t="s">
        <v>491</v>
      </c>
      <c r="Y151" s="293" t="s">
        <v>490</v>
      </c>
      <c r="Z151" s="293">
        <v>5</v>
      </c>
      <c r="AA151" s="293" t="s">
        <v>489</v>
      </c>
      <c r="AB151" s="341" t="s">
        <v>439</v>
      </c>
      <c r="AC151" s="341">
        <v>3</v>
      </c>
      <c r="AD151" s="341" t="s">
        <v>440</v>
      </c>
      <c r="AE151" s="301">
        <v>2</v>
      </c>
      <c r="AF151" s="349" t="s">
        <v>455</v>
      </c>
    </row>
    <row r="152" spans="8:32">
      <c r="H152" s="340" t="s">
        <v>106</v>
      </c>
      <c r="I152" s="341" t="s">
        <v>451</v>
      </c>
      <c r="J152" s="341" t="s">
        <v>452</v>
      </c>
      <c r="K152" s="341" t="s">
        <v>453</v>
      </c>
      <c r="L152" s="341" t="s">
        <v>454</v>
      </c>
      <c r="M152" s="341" t="s">
        <v>445</v>
      </c>
      <c r="N152" s="341">
        <v>0.15</v>
      </c>
      <c r="O152" s="341" t="s">
        <v>443</v>
      </c>
      <c r="P152" s="341">
        <v>20</v>
      </c>
      <c r="Q152" s="341" t="s">
        <v>435</v>
      </c>
      <c r="R152" s="341">
        <v>20</v>
      </c>
      <c r="S152" s="341">
        <v>1</v>
      </c>
      <c r="T152" s="341" t="s">
        <v>440</v>
      </c>
      <c r="U152" s="341">
        <v>1</v>
      </c>
      <c r="V152" s="341" t="s">
        <v>478</v>
      </c>
      <c r="W152" s="341" t="s">
        <v>488</v>
      </c>
      <c r="X152" s="293" t="s">
        <v>491</v>
      </c>
      <c r="Y152" s="293" t="s">
        <v>490</v>
      </c>
      <c r="Z152" s="293">
        <v>5</v>
      </c>
      <c r="AA152" s="293" t="s">
        <v>489</v>
      </c>
      <c r="AB152" s="341" t="s">
        <v>439</v>
      </c>
      <c r="AC152" s="341">
        <v>3</v>
      </c>
      <c r="AD152" s="341" t="s">
        <v>440</v>
      </c>
      <c r="AE152" s="301">
        <v>2</v>
      </c>
      <c r="AF152" s="349" t="s">
        <v>455</v>
      </c>
    </row>
    <row r="153" spans="8:32">
      <c r="H153" s="340" t="s">
        <v>158</v>
      </c>
      <c r="I153" s="341" t="s">
        <v>451</v>
      </c>
      <c r="J153" s="341" t="s">
        <v>452</v>
      </c>
      <c r="K153" s="341" t="s">
        <v>453</v>
      </c>
      <c r="L153" s="341" t="s">
        <v>454</v>
      </c>
      <c r="M153" s="341" t="s">
        <v>445</v>
      </c>
      <c r="N153" s="341">
        <v>0.15</v>
      </c>
      <c r="O153" s="341" t="s">
        <v>443</v>
      </c>
      <c r="P153" s="341">
        <v>20</v>
      </c>
      <c r="Q153" s="341" t="s">
        <v>435</v>
      </c>
      <c r="R153" s="341">
        <v>20</v>
      </c>
      <c r="S153" s="341">
        <v>1</v>
      </c>
      <c r="T153" s="341" t="s">
        <v>438</v>
      </c>
      <c r="U153" s="341">
        <v>1</v>
      </c>
      <c r="V153" s="341" t="s">
        <v>540</v>
      </c>
      <c r="W153" s="341" t="s">
        <v>541</v>
      </c>
      <c r="X153" s="341" t="s">
        <v>542</v>
      </c>
      <c r="Y153" s="341" t="s">
        <v>490</v>
      </c>
      <c r="Z153" s="293" t="s">
        <v>542</v>
      </c>
      <c r="AA153" s="293" t="s">
        <v>543</v>
      </c>
      <c r="AB153" s="341" t="s">
        <v>439</v>
      </c>
      <c r="AC153" s="341">
        <v>6</v>
      </c>
      <c r="AD153" s="341" t="s">
        <v>440</v>
      </c>
      <c r="AE153" s="301">
        <v>2</v>
      </c>
      <c r="AF153" s="349" t="s">
        <v>455</v>
      </c>
    </row>
    <row r="154" spans="8:32">
      <c r="H154" s="340" t="s">
        <v>159</v>
      </c>
      <c r="I154" s="341" t="s">
        <v>451</v>
      </c>
      <c r="J154" s="341" t="s">
        <v>452</v>
      </c>
      <c r="K154" s="341" t="s">
        <v>453</v>
      </c>
      <c r="L154" s="341" t="s">
        <v>454</v>
      </c>
      <c r="M154" s="341" t="s">
        <v>445</v>
      </c>
      <c r="N154" s="341">
        <v>0.15</v>
      </c>
      <c r="O154" s="341" t="s">
        <v>443</v>
      </c>
      <c r="P154" s="341">
        <v>20</v>
      </c>
      <c r="Q154" s="341" t="s">
        <v>435</v>
      </c>
      <c r="R154" s="341">
        <v>20</v>
      </c>
      <c r="S154" s="341">
        <v>1</v>
      </c>
      <c r="T154" s="341" t="s">
        <v>438</v>
      </c>
      <c r="U154" s="341">
        <v>1</v>
      </c>
      <c r="V154" s="341" t="s">
        <v>540</v>
      </c>
      <c r="W154" s="341" t="s">
        <v>541</v>
      </c>
      <c r="X154" s="341" t="s">
        <v>542</v>
      </c>
      <c r="Y154" s="341" t="s">
        <v>490</v>
      </c>
      <c r="Z154" s="293" t="s">
        <v>542</v>
      </c>
      <c r="AA154" s="293" t="s">
        <v>543</v>
      </c>
      <c r="AB154" s="341" t="s">
        <v>439</v>
      </c>
      <c r="AC154" s="341">
        <v>6</v>
      </c>
      <c r="AD154" s="341" t="s">
        <v>440</v>
      </c>
      <c r="AE154" s="301">
        <v>2</v>
      </c>
      <c r="AF154" s="349" t="s">
        <v>455</v>
      </c>
    </row>
    <row r="155" spans="8:32">
      <c r="H155" s="344" t="s">
        <v>297</v>
      </c>
      <c r="I155" s="341" t="s">
        <v>451</v>
      </c>
      <c r="J155" s="341" t="s">
        <v>452</v>
      </c>
      <c r="K155" s="341" t="s">
        <v>453</v>
      </c>
      <c r="L155" s="341" t="s">
        <v>454</v>
      </c>
      <c r="M155" s="341" t="s">
        <v>445</v>
      </c>
      <c r="N155" s="341">
        <v>0.15</v>
      </c>
      <c r="O155" s="341" t="s">
        <v>443</v>
      </c>
      <c r="P155" s="341">
        <v>20</v>
      </c>
      <c r="Q155" s="341" t="s">
        <v>435</v>
      </c>
      <c r="R155" s="341">
        <v>20</v>
      </c>
      <c r="S155" s="341">
        <v>1</v>
      </c>
      <c r="T155" s="341" t="s">
        <v>440</v>
      </c>
      <c r="U155" s="341">
        <v>1</v>
      </c>
      <c r="V155" s="341" t="s">
        <v>478</v>
      </c>
      <c r="W155" s="341" t="s">
        <v>488</v>
      </c>
      <c r="X155" s="293" t="s">
        <v>491</v>
      </c>
      <c r="Y155" s="293" t="s">
        <v>490</v>
      </c>
      <c r="Z155" s="293">
        <v>5</v>
      </c>
      <c r="AA155" s="293" t="s">
        <v>489</v>
      </c>
      <c r="AB155" s="341" t="s">
        <v>439</v>
      </c>
      <c r="AC155" s="341">
        <v>3</v>
      </c>
      <c r="AD155" s="341" t="s">
        <v>440</v>
      </c>
      <c r="AE155" s="301">
        <v>2</v>
      </c>
      <c r="AF155" s="349" t="s">
        <v>455</v>
      </c>
    </row>
    <row r="156" spans="8:32">
      <c r="H156" s="344" t="s">
        <v>296</v>
      </c>
      <c r="I156" s="341" t="s">
        <v>451</v>
      </c>
      <c r="J156" s="341" t="s">
        <v>452</v>
      </c>
      <c r="K156" s="341" t="s">
        <v>453</v>
      </c>
      <c r="L156" s="341" t="s">
        <v>454</v>
      </c>
      <c r="M156" s="341" t="s">
        <v>445</v>
      </c>
      <c r="N156" s="341">
        <v>0.15</v>
      </c>
      <c r="O156" s="341" t="s">
        <v>443</v>
      </c>
      <c r="P156" s="341">
        <v>20</v>
      </c>
      <c r="Q156" s="341" t="s">
        <v>435</v>
      </c>
      <c r="R156" s="341">
        <v>20</v>
      </c>
      <c r="S156" s="341">
        <v>1</v>
      </c>
      <c r="T156" s="341" t="s">
        <v>440</v>
      </c>
      <c r="U156" s="341">
        <v>1</v>
      </c>
      <c r="V156" s="341" t="s">
        <v>478</v>
      </c>
      <c r="W156" s="341" t="s">
        <v>488</v>
      </c>
      <c r="X156" s="293" t="s">
        <v>491</v>
      </c>
      <c r="Y156" s="293" t="s">
        <v>490</v>
      </c>
      <c r="Z156" s="293">
        <v>5</v>
      </c>
      <c r="AA156" s="293" t="s">
        <v>489</v>
      </c>
      <c r="AB156" s="341" t="s">
        <v>439</v>
      </c>
      <c r="AC156" s="341">
        <v>3</v>
      </c>
      <c r="AD156" s="341" t="s">
        <v>440</v>
      </c>
      <c r="AE156" s="301">
        <v>2</v>
      </c>
      <c r="AF156" s="349" t="s">
        <v>455</v>
      </c>
    </row>
    <row r="157" spans="8:32">
      <c r="H157" s="344" t="s">
        <v>295</v>
      </c>
      <c r="I157" s="341" t="s">
        <v>451</v>
      </c>
      <c r="J157" s="341" t="s">
        <v>452</v>
      </c>
      <c r="K157" s="341" t="s">
        <v>453</v>
      </c>
      <c r="L157" s="341" t="s">
        <v>454</v>
      </c>
      <c r="M157" s="341" t="s">
        <v>445</v>
      </c>
      <c r="N157" s="341">
        <v>0.15</v>
      </c>
      <c r="O157" s="341" t="s">
        <v>443</v>
      </c>
      <c r="P157" s="341">
        <v>20</v>
      </c>
      <c r="Q157" s="341" t="s">
        <v>435</v>
      </c>
      <c r="R157" s="341">
        <v>20</v>
      </c>
      <c r="S157" s="341">
        <v>1</v>
      </c>
      <c r="T157" s="341" t="s">
        <v>440</v>
      </c>
      <c r="U157" s="341">
        <v>1</v>
      </c>
      <c r="V157" s="341" t="s">
        <v>478</v>
      </c>
      <c r="W157" s="341" t="s">
        <v>488</v>
      </c>
      <c r="X157" s="293" t="s">
        <v>491</v>
      </c>
      <c r="Y157" s="293" t="s">
        <v>490</v>
      </c>
      <c r="Z157" s="293">
        <v>5</v>
      </c>
      <c r="AA157" s="293" t="s">
        <v>489</v>
      </c>
      <c r="AB157" s="341" t="s">
        <v>439</v>
      </c>
      <c r="AC157" s="341">
        <v>3</v>
      </c>
      <c r="AD157" s="341" t="s">
        <v>440</v>
      </c>
      <c r="AE157" s="301">
        <v>2</v>
      </c>
      <c r="AF157" s="349" t="s">
        <v>455</v>
      </c>
    </row>
    <row r="158" spans="8:32">
      <c r="H158" s="344" t="s">
        <v>294</v>
      </c>
      <c r="I158" s="341" t="s">
        <v>451</v>
      </c>
      <c r="J158" s="341" t="s">
        <v>452</v>
      </c>
      <c r="K158" s="341" t="s">
        <v>453</v>
      </c>
      <c r="L158" s="341" t="s">
        <v>454</v>
      </c>
      <c r="M158" s="341" t="s">
        <v>445</v>
      </c>
      <c r="N158" s="341">
        <v>0.15</v>
      </c>
      <c r="O158" s="341" t="s">
        <v>443</v>
      </c>
      <c r="P158" s="341">
        <v>20</v>
      </c>
      <c r="Q158" s="341" t="s">
        <v>435</v>
      </c>
      <c r="R158" s="341">
        <v>20</v>
      </c>
      <c r="S158" s="341">
        <v>1</v>
      </c>
      <c r="T158" s="341" t="s">
        <v>440</v>
      </c>
      <c r="U158" s="341">
        <v>1</v>
      </c>
      <c r="V158" s="341" t="s">
        <v>478</v>
      </c>
      <c r="W158" s="341" t="s">
        <v>488</v>
      </c>
      <c r="X158" s="293" t="s">
        <v>491</v>
      </c>
      <c r="Y158" s="293" t="s">
        <v>490</v>
      </c>
      <c r="Z158" s="293">
        <v>5</v>
      </c>
      <c r="AA158" s="293" t="s">
        <v>489</v>
      </c>
      <c r="AB158" s="341" t="s">
        <v>439</v>
      </c>
      <c r="AC158" s="341">
        <v>3</v>
      </c>
      <c r="AD158" s="341" t="s">
        <v>440</v>
      </c>
      <c r="AE158" s="301">
        <v>2</v>
      </c>
      <c r="AF158" s="349" t="s">
        <v>455</v>
      </c>
    </row>
    <row r="159" spans="8:32">
      <c r="H159" s="344" t="s">
        <v>293</v>
      </c>
      <c r="I159" s="341" t="s">
        <v>451</v>
      </c>
      <c r="J159" s="341" t="s">
        <v>452</v>
      </c>
      <c r="K159" s="341" t="s">
        <v>453</v>
      </c>
      <c r="L159" s="341" t="s">
        <v>454</v>
      </c>
      <c r="M159" s="341" t="s">
        <v>445</v>
      </c>
      <c r="N159" s="341">
        <v>0.15</v>
      </c>
      <c r="O159" s="341" t="s">
        <v>443</v>
      </c>
      <c r="P159" s="341">
        <v>20</v>
      </c>
      <c r="Q159" s="341" t="s">
        <v>435</v>
      </c>
      <c r="R159" s="341">
        <v>20</v>
      </c>
      <c r="S159" s="341">
        <v>1</v>
      </c>
      <c r="T159" s="341" t="s">
        <v>438</v>
      </c>
      <c r="U159" s="341">
        <v>1</v>
      </c>
      <c r="V159" s="341" t="s">
        <v>540</v>
      </c>
      <c r="W159" s="341" t="s">
        <v>541</v>
      </c>
      <c r="X159" s="341" t="s">
        <v>542</v>
      </c>
      <c r="Y159" s="341" t="s">
        <v>490</v>
      </c>
      <c r="Z159" s="293" t="s">
        <v>542</v>
      </c>
      <c r="AA159" s="293" t="s">
        <v>543</v>
      </c>
      <c r="AB159" s="341" t="s">
        <v>439</v>
      </c>
      <c r="AC159" s="341">
        <v>6</v>
      </c>
      <c r="AD159" s="341" t="s">
        <v>440</v>
      </c>
      <c r="AE159" s="301">
        <v>2</v>
      </c>
      <c r="AF159" s="349" t="s">
        <v>455</v>
      </c>
    </row>
    <row r="160" spans="8:32">
      <c r="H160" s="344" t="s">
        <v>292</v>
      </c>
      <c r="I160" s="341" t="s">
        <v>451</v>
      </c>
      <c r="J160" s="341" t="s">
        <v>452</v>
      </c>
      <c r="K160" s="341" t="s">
        <v>453</v>
      </c>
      <c r="L160" s="341" t="s">
        <v>454</v>
      </c>
      <c r="M160" s="341" t="s">
        <v>445</v>
      </c>
      <c r="N160" s="341">
        <v>0.15</v>
      </c>
      <c r="O160" s="341" t="s">
        <v>443</v>
      </c>
      <c r="P160" s="341">
        <v>20</v>
      </c>
      <c r="Q160" s="341" t="s">
        <v>435</v>
      </c>
      <c r="R160" s="341">
        <v>20</v>
      </c>
      <c r="S160" s="341">
        <v>1</v>
      </c>
      <c r="T160" s="341" t="s">
        <v>438</v>
      </c>
      <c r="U160" s="341">
        <v>1</v>
      </c>
      <c r="V160" s="341" t="s">
        <v>540</v>
      </c>
      <c r="W160" s="341" t="s">
        <v>541</v>
      </c>
      <c r="X160" s="341" t="s">
        <v>542</v>
      </c>
      <c r="Y160" s="341" t="s">
        <v>490</v>
      </c>
      <c r="Z160" s="293" t="s">
        <v>542</v>
      </c>
      <c r="AA160" s="293" t="s">
        <v>543</v>
      </c>
      <c r="AB160" s="341" t="s">
        <v>439</v>
      </c>
      <c r="AC160" s="341">
        <v>6</v>
      </c>
      <c r="AD160" s="341" t="s">
        <v>440</v>
      </c>
      <c r="AE160" s="301">
        <v>2</v>
      </c>
      <c r="AF160" s="349" t="s">
        <v>455</v>
      </c>
    </row>
    <row r="161" spans="8:32">
      <c r="H161" s="344" t="s">
        <v>291</v>
      </c>
      <c r="I161" s="341" t="s">
        <v>451</v>
      </c>
      <c r="J161" s="341" t="s">
        <v>452</v>
      </c>
      <c r="K161" s="341" t="s">
        <v>453</v>
      </c>
      <c r="L161" s="341" t="s">
        <v>454</v>
      </c>
      <c r="M161" s="341" t="s">
        <v>445</v>
      </c>
      <c r="N161" s="341">
        <v>0.15</v>
      </c>
      <c r="O161" s="341" t="s">
        <v>443</v>
      </c>
      <c r="P161" s="341">
        <v>20</v>
      </c>
      <c r="Q161" s="341" t="s">
        <v>435</v>
      </c>
      <c r="R161" s="341">
        <v>20</v>
      </c>
      <c r="S161" s="341">
        <v>1</v>
      </c>
      <c r="T161" s="341" t="s">
        <v>438</v>
      </c>
      <c r="U161" s="341">
        <v>1</v>
      </c>
      <c r="V161" s="341" t="s">
        <v>540</v>
      </c>
      <c r="W161" s="341" t="s">
        <v>541</v>
      </c>
      <c r="X161" s="341" t="s">
        <v>542</v>
      </c>
      <c r="Y161" s="341" t="s">
        <v>490</v>
      </c>
      <c r="Z161" s="293" t="s">
        <v>542</v>
      </c>
      <c r="AA161" s="293" t="s">
        <v>543</v>
      </c>
      <c r="AB161" s="341" t="s">
        <v>439</v>
      </c>
      <c r="AC161" s="341">
        <v>6</v>
      </c>
      <c r="AD161" s="341" t="s">
        <v>440</v>
      </c>
      <c r="AE161" s="301">
        <v>2</v>
      </c>
      <c r="AF161" s="349" t="s">
        <v>455</v>
      </c>
    </row>
    <row r="162" spans="8:32">
      <c r="H162" s="344" t="s">
        <v>290</v>
      </c>
      <c r="I162" s="341" t="s">
        <v>451</v>
      </c>
      <c r="J162" s="341" t="s">
        <v>452</v>
      </c>
      <c r="K162" s="341" t="s">
        <v>453</v>
      </c>
      <c r="L162" s="341" t="s">
        <v>454</v>
      </c>
      <c r="M162" s="341" t="s">
        <v>445</v>
      </c>
      <c r="N162" s="341">
        <v>0.15</v>
      </c>
      <c r="O162" s="341" t="s">
        <v>443</v>
      </c>
      <c r="P162" s="341">
        <v>20</v>
      </c>
      <c r="Q162" s="341" t="s">
        <v>435</v>
      </c>
      <c r="R162" s="341">
        <v>20</v>
      </c>
      <c r="S162" s="341">
        <v>1</v>
      </c>
      <c r="T162" s="341" t="s">
        <v>438</v>
      </c>
      <c r="U162" s="341">
        <v>1</v>
      </c>
      <c r="V162" s="341" t="s">
        <v>540</v>
      </c>
      <c r="W162" s="341" t="s">
        <v>541</v>
      </c>
      <c r="X162" s="341" t="s">
        <v>542</v>
      </c>
      <c r="Y162" s="341" t="s">
        <v>490</v>
      </c>
      <c r="Z162" s="293" t="s">
        <v>542</v>
      </c>
      <c r="AA162" s="293" t="s">
        <v>543</v>
      </c>
      <c r="AB162" s="341" t="s">
        <v>439</v>
      </c>
      <c r="AC162" s="341">
        <v>6</v>
      </c>
      <c r="AD162" s="341" t="s">
        <v>440</v>
      </c>
      <c r="AE162" s="301">
        <v>2</v>
      </c>
      <c r="AF162" s="349" t="s">
        <v>455</v>
      </c>
    </row>
    <row r="163" spans="8:32">
      <c r="H163" s="344" t="s">
        <v>289</v>
      </c>
      <c r="I163" s="341" t="s">
        <v>451</v>
      </c>
      <c r="J163" s="341" t="s">
        <v>452</v>
      </c>
      <c r="K163" s="341" t="s">
        <v>453</v>
      </c>
      <c r="L163" s="341" t="s">
        <v>454</v>
      </c>
      <c r="M163" s="341" t="s">
        <v>445</v>
      </c>
      <c r="N163" s="341">
        <v>0.15</v>
      </c>
      <c r="O163" s="341" t="s">
        <v>443</v>
      </c>
      <c r="P163" s="341">
        <v>20</v>
      </c>
      <c r="Q163" s="341" t="s">
        <v>435</v>
      </c>
      <c r="R163" s="341">
        <v>20</v>
      </c>
      <c r="S163" s="341">
        <v>1</v>
      </c>
      <c r="T163" s="341" t="s">
        <v>438</v>
      </c>
      <c r="U163" s="341">
        <v>1</v>
      </c>
      <c r="V163" s="341" t="s">
        <v>540</v>
      </c>
      <c r="W163" s="341" t="s">
        <v>541</v>
      </c>
      <c r="X163" s="341" t="s">
        <v>542</v>
      </c>
      <c r="Y163" s="341" t="s">
        <v>490</v>
      </c>
      <c r="Z163" s="293" t="s">
        <v>542</v>
      </c>
      <c r="AA163" s="293" t="s">
        <v>543</v>
      </c>
      <c r="AB163" s="341" t="s">
        <v>439</v>
      </c>
      <c r="AC163" s="341">
        <v>6</v>
      </c>
      <c r="AD163" s="341" t="s">
        <v>440</v>
      </c>
      <c r="AE163" s="301">
        <v>2</v>
      </c>
      <c r="AF163" s="349" t="s">
        <v>455</v>
      </c>
    </row>
    <row r="164" spans="8:32">
      <c r="H164" s="344" t="s">
        <v>288</v>
      </c>
      <c r="I164" s="341" t="s">
        <v>451</v>
      </c>
      <c r="J164" s="341" t="s">
        <v>452</v>
      </c>
      <c r="K164" s="341" t="s">
        <v>453</v>
      </c>
      <c r="L164" s="341" t="s">
        <v>454</v>
      </c>
      <c r="M164" s="341" t="s">
        <v>445</v>
      </c>
      <c r="N164" s="341">
        <v>0.15</v>
      </c>
      <c r="O164" s="341" t="s">
        <v>443</v>
      </c>
      <c r="P164" s="341">
        <v>20</v>
      </c>
      <c r="Q164" s="341" t="s">
        <v>435</v>
      </c>
      <c r="R164" s="341">
        <v>20</v>
      </c>
      <c r="S164" s="341">
        <v>1</v>
      </c>
      <c r="T164" s="341" t="s">
        <v>438</v>
      </c>
      <c r="U164" s="341">
        <v>1</v>
      </c>
      <c r="V164" s="341" t="s">
        <v>540</v>
      </c>
      <c r="W164" s="341" t="s">
        <v>541</v>
      </c>
      <c r="X164" s="341" t="s">
        <v>542</v>
      </c>
      <c r="Y164" s="341" t="s">
        <v>490</v>
      </c>
      <c r="Z164" s="293" t="s">
        <v>542</v>
      </c>
      <c r="AA164" s="293" t="s">
        <v>543</v>
      </c>
      <c r="AB164" s="341" t="s">
        <v>439</v>
      </c>
      <c r="AC164" s="341">
        <v>6</v>
      </c>
      <c r="AD164" s="341" t="s">
        <v>440</v>
      </c>
      <c r="AE164" s="301">
        <v>2</v>
      </c>
      <c r="AF164" s="349" t="s">
        <v>455</v>
      </c>
    </row>
    <row r="165" spans="8:32">
      <c r="H165" s="344" t="s">
        <v>287</v>
      </c>
      <c r="I165" s="341" t="s">
        <v>451</v>
      </c>
      <c r="J165" s="341" t="s">
        <v>452</v>
      </c>
      <c r="K165" s="341" t="s">
        <v>453</v>
      </c>
      <c r="L165" s="341" t="s">
        <v>454</v>
      </c>
      <c r="M165" s="341" t="s">
        <v>445</v>
      </c>
      <c r="N165" s="341">
        <v>0.15</v>
      </c>
      <c r="O165" s="341" t="s">
        <v>443</v>
      </c>
      <c r="P165" s="341">
        <v>20</v>
      </c>
      <c r="Q165" s="341" t="s">
        <v>435</v>
      </c>
      <c r="R165" s="341">
        <v>20</v>
      </c>
      <c r="S165" s="341">
        <v>1</v>
      </c>
      <c r="T165" s="341" t="s">
        <v>440</v>
      </c>
      <c r="U165" s="341">
        <v>1</v>
      </c>
      <c r="V165" s="341" t="s">
        <v>478</v>
      </c>
      <c r="W165" s="341" t="s">
        <v>488</v>
      </c>
      <c r="X165" s="293" t="s">
        <v>491</v>
      </c>
      <c r="Y165" s="293" t="s">
        <v>490</v>
      </c>
      <c r="Z165" s="293">
        <v>5</v>
      </c>
      <c r="AA165" s="293" t="s">
        <v>489</v>
      </c>
      <c r="AB165" s="341" t="s">
        <v>439</v>
      </c>
      <c r="AC165" s="341">
        <v>3</v>
      </c>
      <c r="AD165" s="341" t="s">
        <v>440</v>
      </c>
      <c r="AE165" s="301">
        <v>2</v>
      </c>
      <c r="AF165" s="349" t="s">
        <v>455</v>
      </c>
    </row>
    <row r="166" spans="8:32">
      <c r="H166" s="344" t="s">
        <v>286</v>
      </c>
      <c r="I166" s="341" t="s">
        <v>451</v>
      </c>
      <c r="J166" s="341" t="s">
        <v>452</v>
      </c>
      <c r="K166" s="341" t="s">
        <v>453</v>
      </c>
      <c r="L166" s="341" t="s">
        <v>454</v>
      </c>
      <c r="M166" s="341" t="s">
        <v>445</v>
      </c>
      <c r="N166" s="341">
        <v>0.15</v>
      </c>
      <c r="O166" s="341" t="s">
        <v>443</v>
      </c>
      <c r="P166" s="341">
        <v>20</v>
      </c>
      <c r="Q166" s="341" t="s">
        <v>435</v>
      </c>
      <c r="R166" s="341">
        <v>20</v>
      </c>
      <c r="S166" s="341">
        <v>1</v>
      </c>
      <c r="T166" s="341" t="s">
        <v>440</v>
      </c>
      <c r="U166" s="341">
        <v>1</v>
      </c>
      <c r="V166" s="341" t="s">
        <v>478</v>
      </c>
      <c r="W166" s="341" t="s">
        <v>488</v>
      </c>
      <c r="X166" s="293" t="s">
        <v>491</v>
      </c>
      <c r="Y166" s="293" t="s">
        <v>490</v>
      </c>
      <c r="Z166" s="293">
        <v>5</v>
      </c>
      <c r="AA166" s="293" t="s">
        <v>489</v>
      </c>
      <c r="AB166" s="341" t="s">
        <v>439</v>
      </c>
      <c r="AC166" s="341">
        <v>3</v>
      </c>
      <c r="AD166" s="341" t="s">
        <v>440</v>
      </c>
      <c r="AE166" s="301">
        <v>2</v>
      </c>
      <c r="AF166" s="349" t="s">
        <v>455</v>
      </c>
    </row>
    <row r="167" spans="8:32">
      <c r="H167" s="344" t="s">
        <v>285</v>
      </c>
      <c r="I167" s="341" t="s">
        <v>451</v>
      </c>
      <c r="J167" s="341" t="s">
        <v>452</v>
      </c>
      <c r="K167" s="341" t="s">
        <v>453</v>
      </c>
      <c r="L167" s="341" t="s">
        <v>454</v>
      </c>
      <c r="M167" s="341" t="s">
        <v>445</v>
      </c>
      <c r="N167" s="341">
        <v>0.15</v>
      </c>
      <c r="O167" s="341" t="s">
        <v>443</v>
      </c>
      <c r="P167" s="341">
        <v>20</v>
      </c>
      <c r="Q167" s="341" t="s">
        <v>435</v>
      </c>
      <c r="R167" s="341">
        <v>20</v>
      </c>
      <c r="S167" s="341">
        <v>1</v>
      </c>
      <c r="T167" s="341" t="s">
        <v>440</v>
      </c>
      <c r="U167" s="341">
        <v>1</v>
      </c>
      <c r="V167" s="341" t="s">
        <v>478</v>
      </c>
      <c r="W167" s="341" t="s">
        <v>488</v>
      </c>
      <c r="X167" s="293" t="s">
        <v>491</v>
      </c>
      <c r="Y167" s="293" t="s">
        <v>490</v>
      </c>
      <c r="Z167" s="293">
        <v>5</v>
      </c>
      <c r="AA167" s="293" t="s">
        <v>489</v>
      </c>
      <c r="AB167" s="341" t="s">
        <v>439</v>
      </c>
      <c r="AC167" s="341">
        <v>3</v>
      </c>
      <c r="AD167" s="341" t="s">
        <v>440</v>
      </c>
      <c r="AE167" s="301">
        <v>2</v>
      </c>
      <c r="AF167" s="349" t="s">
        <v>455</v>
      </c>
    </row>
    <row r="168" spans="8:32">
      <c r="H168" s="344" t="s">
        <v>284</v>
      </c>
      <c r="I168" s="341" t="s">
        <v>451</v>
      </c>
      <c r="J168" s="341" t="s">
        <v>452</v>
      </c>
      <c r="K168" s="341" t="s">
        <v>453</v>
      </c>
      <c r="L168" s="341" t="s">
        <v>454</v>
      </c>
      <c r="M168" s="341" t="s">
        <v>445</v>
      </c>
      <c r="N168" s="341">
        <v>0.15</v>
      </c>
      <c r="O168" s="341" t="s">
        <v>443</v>
      </c>
      <c r="P168" s="341">
        <v>20</v>
      </c>
      <c r="Q168" s="341" t="s">
        <v>435</v>
      </c>
      <c r="R168" s="341">
        <v>20</v>
      </c>
      <c r="S168" s="341">
        <v>1</v>
      </c>
      <c r="T168" s="341" t="s">
        <v>440</v>
      </c>
      <c r="U168" s="341">
        <v>1</v>
      </c>
      <c r="V168" s="341" t="s">
        <v>478</v>
      </c>
      <c r="W168" s="341" t="s">
        <v>488</v>
      </c>
      <c r="X168" s="293" t="s">
        <v>491</v>
      </c>
      <c r="Y168" s="293" t="s">
        <v>490</v>
      </c>
      <c r="Z168" s="293">
        <v>5</v>
      </c>
      <c r="AA168" s="293" t="s">
        <v>489</v>
      </c>
      <c r="AB168" s="341" t="s">
        <v>439</v>
      </c>
      <c r="AC168" s="341">
        <v>3</v>
      </c>
      <c r="AD168" s="341" t="s">
        <v>440</v>
      </c>
      <c r="AE168" s="301">
        <v>2</v>
      </c>
      <c r="AF168" s="349" t="s">
        <v>455</v>
      </c>
    </row>
    <row r="169" spans="8:32">
      <c r="H169" s="344" t="s">
        <v>283</v>
      </c>
      <c r="I169" s="341" t="s">
        <v>451</v>
      </c>
      <c r="J169" s="341" t="s">
        <v>452</v>
      </c>
      <c r="K169" s="341" t="s">
        <v>453</v>
      </c>
      <c r="L169" s="341" t="s">
        <v>454</v>
      </c>
      <c r="M169" s="341" t="s">
        <v>445</v>
      </c>
      <c r="N169" s="341">
        <v>0.15</v>
      </c>
      <c r="O169" s="341" t="s">
        <v>443</v>
      </c>
      <c r="P169" s="341">
        <v>20</v>
      </c>
      <c r="Q169" s="341" t="s">
        <v>435</v>
      </c>
      <c r="R169" s="341">
        <v>20</v>
      </c>
      <c r="S169" s="341">
        <v>1</v>
      </c>
      <c r="T169" s="341" t="s">
        <v>438</v>
      </c>
      <c r="U169" s="341">
        <v>1</v>
      </c>
      <c r="V169" s="341" t="s">
        <v>540</v>
      </c>
      <c r="W169" s="341" t="s">
        <v>541</v>
      </c>
      <c r="X169" s="341" t="s">
        <v>542</v>
      </c>
      <c r="Y169" s="341" t="s">
        <v>490</v>
      </c>
      <c r="Z169" s="293" t="s">
        <v>542</v>
      </c>
      <c r="AA169" s="293" t="s">
        <v>543</v>
      </c>
      <c r="AB169" s="341" t="s">
        <v>439</v>
      </c>
      <c r="AC169" s="341">
        <v>6</v>
      </c>
      <c r="AD169" s="341" t="s">
        <v>440</v>
      </c>
      <c r="AE169" s="301">
        <v>2</v>
      </c>
      <c r="AF169" s="349" t="s">
        <v>455</v>
      </c>
    </row>
    <row r="170" spans="8:32">
      <c r="H170" s="344" t="s">
        <v>282</v>
      </c>
      <c r="I170" s="341" t="s">
        <v>451</v>
      </c>
      <c r="J170" s="341" t="s">
        <v>452</v>
      </c>
      <c r="K170" s="341" t="s">
        <v>453</v>
      </c>
      <c r="L170" s="341" t="s">
        <v>454</v>
      </c>
      <c r="M170" s="341" t="s">
        <v>445</v>
      </c>
      <c r="N170" s="341">
        <v>0.15</v>
      </c>
      <c r="O170" s="341" t="s">
        <v>443</v>
      </c>
      <c r="P170" s="341">
        <v>20</v>
      </c>
      <c r="Q170" s="341" t="s">
        <v>435</v>
      </c>
      <c r="R170" s="341">
        <v>20</v>
      </c>
      <c r="S170" s="341">
        <v>1</v>
      </c>
      <c r="T170" s="341" t="s">
        <v>438</v>
      </c>
      <c r="U170" s="341">
        <v>1</v>
      </c>
      <c r="V170" s="341" t="s">
        <v>540</v>
      </c>
      <c r="W170" s="341" t="s">
        <v>541</v>
      </c>
      <c r="X170" s="341" t="s">
        <v>542</v>
      </c>
      <c r="Y170" s="341" t="s">
        <v>490</v>
      </c>
      <c r="Z170" s="293" t="s">
        <v>542</v>
      </c>
      <c r="AA170" s="293" t="s">
        <v>543</v>
      </c>
      <c r="AB170" s="341" t="s">
        <v>439</v>
      </c>
      <c r="AC170" s="341">
        <v>6</v>
      </c>
      <c r="AD170" s="341" t="s">
        <v>440</v>
      </c>
      <c r="AE170" s="301">
        <v>2</v>
      </c>
      <c r="AF170" s="349" t="s">
        <v>455</v>
      </c>
    </row>
    <row r="171" spans="8:32">
      <c r="H171" s="344" t="s">
        <v>281</v>
      </c>
      <c r="I171" s="341" t="s">
        <v>451</v>
      </c>
      <c r="J171" s="341" t="s">
        <v>452</v>
      </c>
      <c r="K171" s="341" t="s">
        <v>453</v>
      </c>
      <c r="L171" s="341" t="s">
        <v>454</v>
      </c>
      <c r="M171" s="341" t="s">
        <v>445</v>
      </c>
      <c r="N171" s="341">
        <v>0.15</v>
      </c>
      <c r="O171" s="341" t="s">
        <v>443</v>
      </c>
      <c r="P171" s="341">
        <v>20</v>
      </c>
      <c r="Q171" s="341" t="s">
        <v>435</v>
      </c>
      <c r="R171" s="341">
        <v>20</v>
      </c>
      <c r="S171" s="341">
        <v>1</v>
      </c>
      <c r="T171" s="341" t="s">
        <v>438</v>
      </c>
      <c r="U171" s="341">
        <v>1</v>
      </c>
      <c r="V171" s="341" t="s">
        <v>540</v>
      </c>
      <c r="W171" s="341" t="s">
        <v>541</v>
      </c>
      <c r="X171" s="341" t="s">
        <v>542</v>
      </c>
      <c r="Y171" s="341" t="s">
        <v>490</v>
      </c>
      <c r="Z171" s="293" t="s">
        <v>542</v>
      </c>
      <c r="AA171" s="293" t="s">
        <v>543</v>
      </c>
      <c r="AB171" s="341" t="s">
        <v>439</v>
      </c>
      <c r="AC171" s="341">
        <v>6</v>
      </c>
      <c r="AD171" s="341" t="s">
        <v>440</v>
      </c>
      <c r="AE171" s="301">
        <v>2</v>
      </c>
      <c r="AF171" s="349" t="s">
        <v>455</v>
      </c>
    </row>
    <row r="172" spans="8:32">
      <c r="H172" s="344" t="s">
        <v>280</v>
      </c>
      <c r="I172" s="341" t="s">
        <v>451</v>
      </c>
      <c r="J172" s="341" t="s">
        <v>452</v>
      </c>
      <c r="K172" s="341" t="s">
        <v>453</v>
      </c>
      <c r="L172" s="341" t="s">
        <v>454</v>
      </c>
      <c r="M172" s="341" t="s">
        <v>445</v>
      </c>
      <c r="N172" s="341">
        <v>0.15</v>
      </c>
      <c r="O172" s="341" t="s">
        <v>443</v>
      </c>
      <c r="P172" s="341">
        <v>20</v>
      </c>
      <c r="Q172" s="341" t="s">
        <v>435</v>
      </c>
      <c r="R172" s="341">
        <v>20</v>
      </c>
      <c r="S172" s="341">
        <v>1</v>
      </c>
      <c r="T172" s="341" t="s">
        <v>438</v>
      </c>
      <c r="U172" s="341">
        <v>1</v>
      </c>
      <c r="V172" s="341" t="s">
        <v>540</v>
      </c>
      <c r="W172" s="341" t="s">
        <v>541</v>
      </c>
      <c r="X172" s="341" t="s">
        <v>542</v>
      </c>
      <c r="Y172" s="341" t="s">
        <v>490</v>
      </c>
      <c r="Z172" s="293" t="s">
        <v>542</v>
      </c>
      <c r="AA172" s="293" t="s">
        <v>543</v>
      </c>
      <c r="AB172" s="341" t="s">
        <v>439</v>
      </c>
      <c r="AC172" s="341">
        <v>6</v>
      </c>
      <c r="AD172" s="341" t="s">
        <v>440</v>
      </c>
      <c r="AE172" s="301">
        <v>2</v>
      </c>
      <c r="AF172" s="349" t="s">
        <v>455</v>
      </c>
    </row>
    <row r="173" spans="8:32">
      <c r="H173" s="344" t="s">
        <v>279</v>
      </c>
      <c r="I173" s="341" t="s">
        <v>451</v>
      </c>
      <c r="J173" s="341" t="s">
        <v>452</v>
      </c>
      <c r="K173" s="341" t="s">
        <v>453</v>
      </c>
      <c r="L173" s="341" t="s">
        <v>454</v>
      </c>
      <c r="M173" s="341" t="s">
        <v>445</v>
      </c>
      <c r="N173" s="341">
        <v>0.15</v>
      </c>
      <c r="O173" s="341" t="s">
        <v>443</v>
      </c>
      <c r="P173" s="341">
        <v>20</v>
      </c>
      <c r="Q173" s="341" t="s">
        <v>435</v>
      </c>
      <c r="R173" s="341">
        <v>20</v>
      </c>
      <c r="S173" s="341">
        <v>1</v>
      </c>
      <c r="T173" s="341" t="s">
        <v>438</v>
      </c>
      <c r="U173" s="341">
        <v>1</v>
      </c>
      <c r="V173" s="341" t="s">
        <v>540</v>
      </c>
      <c r="W173" s="341" t="s">
        <v>541</v>
      </c>
      <c r="X173" s="341" t="s">
        <v>542</v>
      </c>
      <c r="Y173" s="341" t="s">
        <v>490</v>
      </c>
      <c r="Z173" s="293" t="s">
        <v>542</v>
      </c>
      <c r="AA173" s="293" t="s">
        <v>543</v>
      </c>
      <c r="AB173" s="341" t="s">
        <v>439</v>
      </c>
      <c r="AC173" s="341">
        <v>6</v>
      </c>
      <c r="AD173" s="341" t="s">
        <v>440</v>
      </c>
      <c r="AE173" s="301">
        <v>2</v>
      </c>
      <c r="AF173" s="349" t="s">
        <v>455</v>
      </c>
    </row>
    <row r="174" spans="8:32">
      <c r="H174" s="344" t="s">
        <v>278</v>
      </c>
      <c r="I174" s="341" t="s">
        <v>451</v>
      </c>
      <c r="J174" s="341" t="s">
        <v>452</v>
      </c>
      <c r="K174" s="341" t="s">
        <v>453</v>
      </c>
      <c r="L174" s="341" t="s">
        <v>454</v>
      </c>
      <c r="M174" s="341" t="s">
        <v>445</v>
      </c>
      <c r="N174" s="341">
        <v>0.15</v>
      </c>
      <c r="O174" s="341" t="s">
        <v>443</v>
      </c>
      <c r="P174" s="341">
        <v>20</v>
      </c>
      <c r="Q174" s="341" t="s">
        <v>435</v>
      </c>
      <c r="R174" s="341">
        <v>20</v>
      </c>
      <c r="S174" s="341">
        <v>1</v>
      </c>
      <c r="T174" s="341" t="s">
        <v>438</v>
      </c>
      <c r="U174" s="341">
        <v>1</v>
      </c>
      <c r="V174" s="341" t="s">
        <v>540</v>
      </c>
      <c r="W174" s="341" t="s">
        <v>541</v>
      </c>
      <c r="X174" s="341" t="s">
        <v>542</v>
      </c>
      <c r="Y174" s="341" t="s">
        <v>490</v>
      </c>
      <c r="Z174" s="293" t="s">
        <v>542</v>
      </c>
      <c r="AA174" s="293" t="s">
        <v>543</v>
      </c>
      <c r="AB174" s="341" t="s">
        <v>439</v>
      </c>
      <c r="AC174" s="341">
        <v>6</v>
      </c>
      <c r="AD174" s="341" t="s">
        <v>440</v>
      </c>
      <c r="AE174" s="301">
        <v>2</v>
      </c>
      <c r="AF174" s="349" t="s">
        <v>455</v>
      </c>
    </row>
    <row r="175" spans="8:32">
      <c r="H175" s="340" t="s">
        <v>132</v>
      </c>
      <c r="I175" s="341" t="s">
        <v>451</v>
      </c>
      <c r="J175" s="341" t="s">
        <v>456</v>
      </c>
      <c r="K175" s="341" t="s">
        <v>453</v>
      </c>
      <c r="L175" s="341" t="s">
        <v>454</v>
      </c>
      <c r="M175" s="341" t="s">
        <v>445</v>
      </c>
      <c r="N175" s="341">
        <v>0.15</v>
      </c>
      <c r="O175" s="341" t="s">
        <v>443</v>
      </c>
      <c r="P175" s="341">
        <v>20</v>
      </c>
      <c r="Q175" s="341" t="s">
        <v>435</v>
      </c>
      <c r="R175" s="341">
        <v>20</v>
      </c>
      <c r="S175" s="341">
        <v>1</v>
      </c>
      <c r="T175" s="341" t="s">
        <v>440</v>
      </c>
      <c r="U175" s="341">
        <v>1</v>
      </c>
      <c r="V175" s="341" t="s">
        <v>478</v>
      </c>
      <c r="W175" s="341" t="s">
        <v>488</v>
      </c>
      <c r="X175" s="293" t="s">
        <v>491</v>
      </c>
      <c r="Y175" s="293" t="s">
        <v>490</v>
      </c>
      <c r="Z175" s="293">
        <v>5</v>
      </c>
      <c r="AA175" s="293" t="s">
        <v>489</v>
      </c>
      <c r="AB175" s="341" t="s">
        <v>439</v>
      </c>
      <c r="AC175" s="341">
        <v>3</v>
      </c>
      <c r="AD175" s="341" t="s">
        <v>440</v>
      </c>
      <c r="AE175" s="301">
        <v>2</v>
      </c>
      <c r="AF175" s="349" t="s">
        <v>455</v>
      </c>
    </row>
    <row r="176" spans="8:32">
      <c r="H176" s="340" t="s">
        <v>133</v>
      </c>
      <c r="I176" s="341" t="s">
        <v>451</v>
      </c>
      <c r="J176" s="341" t="s">
        <v>456</v>
      </c>
      <c r="K176" s="341" t="s">
        <v>453</v>
      </c>
      <c r="L176" s="341" t="s">
        <v>454</v>
      </c>
      <c r="M176" s="341" t="s">
        <v>445</v>
      </c>
      <c r="N176" s="341">
        <v>0.15</v>
      </c>
      <c r="O176" s="341" t="s">
        <v>443</v>
      </c>
      <c r="P176" s="341">
        <v>20</v>
      </c>
      <c r="Q176" s="341" t="s">
        <v>435</v>
      </c>
      <c r="R176" s="341">
        <v>20</v>
      </c>
      <c r="S176" s="341">
        <v>1</v>
      </c>
      <c r="T176" s="341" t="s">
        <v>440</v>
      </c>
      <c r="U176" s="341">
        <v>1</v>
      </c>
      <c r="V176" s="341" t="s">
        <v>478</v>
      </c>
      <c r="W176" s="341" t="s">
        <v>488</v>
      </c>
      <c r="X176" s="293" t="s">
        <v>491</v>
      </c>
      <c r="Y176" s="293" t="s">
        <v>490</v>
      </c>
      <c r="Z176" s="293">
        <v>5</v>
      </c>
      <c r="AA176" s="293" t="s">
        <v>489</v>
      </c>
      <c r="AB176" s="341" t="s">
        <v>439</v>
      </c>
      <c r="AC176" s="341">
        <v>3</v>
      </c>
      <c r="AD176" s="341" t="s">
        <v>440</v>
      </c>
      <c r="AE176" s="301">
        <v>2</v>
      </c>
      <c r="AF176" s="349" t="s">
        <v>455</v>
      </c>
    </row>
    <row r="177" spans="8:32">
      <c r="H177" s="340" t="s">
        <v>134</v>
      </c>
      <c r="I177" s="341" t="s">
        <v>451</v>
      </c>
      <c r="J177" s="341" t="s">
        <v>456</v>
      </c>
      <c r="K177" s="341" t="s">
        <v>453</v>
      </c>
      <c r="L177" s="341" t="s">
        <v>454</v>
      </c>
      <c r="M177" s="341" t="s">
        <v>445</v>
      </c>
      <c r="N177" s="341">
        <v>0.15</v>
      </c>
      <c r="O177" s="341" t="s">
        <v>443</v>
      </c>
      <c r="P177" s="341">
        <v>20</v>
      </c>
      <c r="Q177" s="341" t="s">
        <v>435</v>
      </c>
      <c r="R177" s="341">
        <v>20</v>
      </c>
      <c r="S177" s="341">
        <v>1</v>
      </c>
      <c r="T177" s="341" t="s">
        <v>440</v>
      </c>
      <c r="U177" s="341">
        <v>1</v>
      </c>
      <c r="V177" s="341" t="s">
        <v>478</v>
      </c>
      <c r="W177" s="341" t="s">
        <v>488</v>
      </c>
      <c r="X177" s="293" t="s">
        <v>491</v>
      </c>
      <c r="Y177" s="293" t="s">
        <v>490</v>
      </c>
      <c r="Z177" s="293">
        <v>5</v>
      </c>
      <c r="AA177" s="293" t="s">
        <v>489</v>
      </c>
      <c r="AB177" s="341" t="s">
        <v>439</v>
      </c>
      <c r="AC177" s="341">
        <v>3</v>
      </c>
      <c r="AD177" s="341" t="s">
        <v>440</v>
      </c>
      <c r="AE177" s="301">
        <v>2</v>
      </c>
      <c r="AF177" s="349" t="s">
        <v>455</v>
      </c>
    </row>
    <row r="178" spans="8:32">
      <c r="H178" s="340" t="s">
        <v>135</v>
      </c>
      <c r="I178" s="341" t="s">
        <v>451</v>
      </c>
      <c r="J178" s="341" t="s">
        <v>456</v>
      </c>
      <c r="K178" s="341" t="s">
        <v>453</v>
      </c>
      <c r="L178" s="341" t="s">
        <v>454</v>
      </c>
      <c r="M178" s="341" t="s">
        <v>445</v>
      </c>
      <c r="N178" s="341">
        <v>0.15</v>
      </c>
      <c r="O178" s="341" t="s">
        <v>443</v>
      </c>
      <c r="P178" s="341">
        <v>20</v>
      </c>
      <c r="Q178" s="341" t="s">
        <v>435</v>
      </c>
      <c r="R178" s="341">
        <v>20</v>
      </c>
      <c r="S178" s="341">
        <v>1</v>
      </c>
      <c r="T178" s="341" t="s">
        <v>440</v>
      </c>
      <c r="U178" s="341">
        <v>1</v>
      </c>
      <c r="V178" s="341" t="s">
        <v>478</v>
      </c>
      <c r="W178" s="341" t="s">
        <v>488</v>
      </c>
      <c r="X178" s="293" t="s">
        <v>491</v>
      </c>
      <c r="Y178" s="293" t="s">
        <v>490</v>
      </c>
      <c r="Z178" s="293">
        <v>5</v>
      </c>
      <c r="AA178" s="293" t="s">
        <v>489</v>
      </c>
      <c r="AB178" s="341" t="s">
        <v>439</v>
      </c>
      <c r="AC178" s="341">
        <v>3</v>
      </c>
      <c r="AD178" s="341" t="s">
        <v>440</v>
      </c>
      <c r="AE178" s="301">
        <v>2</v>
      </c>
      <c r="AF178" s="349" t="s">
        <v>455</v>
      </c>
    </row>
    <row r="179" spans="8:32">
      <c r="H179" s="340" t="s">
        <v>136</v>
      </c>
      <c r="I179" s="341" t="s">
        <v>451</v>
      </c>
      <c r="J179" s="341" t="s">
        <v>456</v>
      </c>
      <c r="K179" s="341" t="s">
        <v>453</v>
      </c>
      <c r="L179" s="341" t="s">
        <v>454</v>
      </c>
      <c r="M179" s="341" t="s">
        <v>445</v>
      </c>
      <c r="N179" s="341">
        <v>0.15</v>
      </c>
      <c r="O179" s="341" t="s">
        <v>443</v>
      </c>
      <c r="P179" s="341">
        <v>20</v>
      </c>
      <c r="Q179" s="341" t="s">
        <v>435</v>
      </c>
      <c r="R179" s="341">
        <v>20</v>
      </c>
      <c r="S179" s="341">
        <v>1</v>
      </c>
      <c r="T179" s="341" t="s">
        <v>440</v>
      </c>
      <c r="U179" s="341">
        <v>1</v>
      </c>
      <c r="V179" s="341" t="s">
        <v>478</v>
      </c>
      <c r="W179" s="341" t="s">
        <v>488</v>
      </c>
      <c r="X179" s="293" t="s">
        <v>491</v>
      </c>
      <c r="Y179" s="293" t="s">
        <v>490</v>
      </c>
      <c r="Z179" s="293">
        <v>5</v>
      </c>
      <c r="AA179" s="293" t="s">
        <v>489</v>
      </c>
      <c r="AB179" s="341" t="s">
        <v>439</v>
      </c>
      <c r="AC179" s="341">
        <v>3</v>
      </c>
      <c r="AD179" s="341" t="s">
        <v>440</v>
      </c>
      <c r="AE179" s="301">
        <v>2</v>
      </c>
      <c r="AF179" s="349" t="s">
        <v>455</v>
      </c>
    </row>
    <row r="180" spans="8:32">
      <c r="H180" s="340" t="s">
        <v>137</v>
      </c>
      <c r="I180" s="341" t="s">
        <v>451</v>
      </c>
      <c r="J180" s="341" t="s">
        <v>456</v>
      </c>
      <c r="K180" s="341" t="s">
        <v>453</v>
      </c>
      <c r="L180" s="341" t="s">
        <v>454</v>
      </c>
      <c r="M180" s="341" t="s">
        <v>445</v>
      </c>
      <c r="N180" s="341">
        <v>0.15</v>
      </c>
      <c r="O180" s="341" t="s">
        <v>443</v>
      </c>
      <c r="P180" s="341">
        <v>20</v>
      </c>
      <c r="Q180" s="341" t="s">
        <v>435</v>
      </c>
      <c r="R180" s="341">
        <v>20</v>
      </c>
      <c r="S180" s="341">
        <v>1</v>
      </c>
      <c r="T180" s="341" t="s">
        <v>440</v>
      </c>
      <c r="U180" s="341">
        <v>1</v>
      </c>
      <c r="V180" s="341" t="s">
        <v>478</v>
      </c>
      <c r="W180" s="341" t="s">
        <v>488</v>
      </c>
      <c r="X180" s="293" t="s">
        <v>491</v>
      </c>
      <c r="Y180" s="293" t="s">
        <v>490</v>
      </c>
      <c r="Z180" s="293">
        <v>5</v>
      </c>
      <c r="AA180" s="293" t="s">
        <v>489</v>
      </c>
      <c r="AB180" s="341" t="s">
        <v>439</v>
      </c>
      <c r="AC180" s="341">
        <v>3</v>
      </c>
      <c r="AD180" s="341" t="s">
        <v>440</v>
      </c>
      <c r="AE180" s="301">
        <v>2</v>
      </c>
      <c r="AF180" s="349" t="s">
        <v>455</v>
      </c>
    </row>
    <row r="181" spans="8:32">
      <c r="H181" s="340" t="s">
        <v>311</v>
      </c>
      <c r="I181" s="341" t="s">
        <v>451</v>
      </c>
      <c r="J181" s="341" t="s">
        <v>456</v>
      </c>
      <c r="K181" s="341" t="s">
        <v>453</v>
      </c>
      <c r="L181" s="341" t="s">
        <v>454</v>
      </c>
      <c r="M181" s="341" t="s">
        <v>445</v>
      </c>
      <c r="N181" s="341">
        <v>0.15</v>
      </c>
      <c r="O181" s="341" t="s">
        <v>443</v>
      </c>
      <c r="P181" s="341">
        <v>20</v>
      </c>
      <c r="Q181" s="341" t="s">
        <v>435</v>
      </c>
      <c r="R181" s="341">
        <v>20</v>
      </c>
      <c r="S181" s="341">
        <v>1</v>
      </c>
      <c r="T181" s="341" t="s">
        <v>440</v>
      </c>
      <c r="U181" s="341">
        <v>1</v>
      </c>
      <c r="V181" s="341" t="s">
        <v>478</v>
      </c>
      <c r="W181" s="341" t="s">
        <v>488</v>
      </c>
      <c r="X181" s="293" t="s">
        <v>491</v>
      </c>
      <c r="Y181" s="293" t="s">
        <v>490</v>
      </c>
      <c r="Z181" s="293">
        <v>5</v>
      </c>
      <c r="AA181" s="293" t="s">
        <v>489</v>
      </c>
      <c r="AB181" s="341" t="s">
        <v>439</v>
      </c>
      <c r="AC181" s="341">
        <v>3</v>
      </c>
      <c r="AD181" s="341" t="s">
        <v>440</v>
      </c>
      <c r="AE181" s="301">
        <v>2</v>
      </c>
      <c r="AF181" s="349" t="s">
        <v>455</v>
      </c>
    </row>
    <row r="182" spans="8:32">
      <c r="H182" s="340" t="s">
        <v>138</v>
      </c>
      <c r="I182" s="341" t="s">
        <v>451</v>
      </c>
      <c r="J182" s="341" t="s">
        <v>456</v>
      </c>
      <c r="K182" s="341" t="s">
        <v>453</v>
      </c>
      <c r="L182" s="341" t="s">
        <v>454</v>
      </c>
      <c r="M182" s="341" t="s">
        <v>445</v>
      </c>
      <c r="N182" s="341">
        <v>0.15</v>
      </c>
      <c r="O182" s="341" t="s">
        <v>443</v>
      </c>
      <c r="P182" s="341">
        <v>20</v>
      </c>
      <c r="Q182" s="341" t="s">
        <v>435</v>
      </c>
      <c r="R182" s="341">
        <v>20</v>
      </c>
      <c r="S182" s="341">
        <v>1</v>
      </c>
      <c r="T182" s="341" t="s">
        <v>440</v>
      </c>
      <c r="U182" s="341">
        <v>1</v>
      </c>
      <c r="V182" s="341" t="s">
        <v>478</v>
      </c>
      <c r="W182" s="341" t="s">
        <v>488</v>
      </c>
      <c r="X182" s="293" t="s">
        <v>491</v>
      </c>
      <c r="Y182" s="293" t="s">
        <v>490</v>
      </c>
      <c r="Z182" s="293">
        <v>5</v>
      </c>
      <c r="AA182" s="293" t="s">
        <v>489</v>
      </c>
      <c r="AB182" s="341" t="s">
        <v>439</v>
      </c>
      <c r="AC182" s="341">
        <v>3</v>
      </c>
      <c r="AD182" s="341" t="s">
        <v>440</v>
      </c>
      <c r="AE182" s="301">
        <v>2</v>
      </c>
      <c r="AF182" s="349" t="s">
        <v>455</v>
      </c>
    </row>
    <row r="183" spans="8:32">
      <c r="H183" s="340" t="s">
        <v>86</v>
      </c>
      <c r="I183" s="341" t="s">
        <v>451</v>
      </c>
      <c r="J183" s="341" t="s">
        <v>456</v>
      </c>
      <c r="K183" s="341" t="s">
        <v>453</v>
      </c>
      <c r="L183" s="341" t="s">
        <v>454</v>
      </c>
      <c r="M183" s="341" t="s">
        <v>445</v>
      </c>
      <c r="N183" s="341">
        <v>0.15</v>
      </c>
      <c r="O183" s="341" t="s">
        <v>443</v>
      </c>
      <c r="P183" s="341">
        <v>20</v>
      </c>
      <c r="Q183" s="341" t="s">
        <v>435</v>
      </c>
      <c r="R183" s="341">
        <v>20</v>
      </c>
      <c r="S183" s="341">
        <v>1</v>
      </c>
      <c r="T183" s="341" t="s">
        <v>440</v>
      </c>
      <c r="U183" s="341">
        <v>1</v>
      </c>
      <c r="V183" s="341" t="s">
        <v>478</v>
      </c>
      <c r="W183" s="341" t="s">
        <v>488</v>
      </c>
      <c r="X183" s="293" t="s">
        <v>491</v>
      </c>
      <c r="Y183" s="293" t="s">
        <v>490</v>
      </c>
      <c r="Z183" s="293">
        <v>5</v>
      </c>
      <c r="AA183" s="293" t="s">
        <v>489</v>
      </c>
      <c r="AB183" s="341" t="s">
        <v>439</v>
      </c>
      <c r="AC183" s="341">
        <v>3</v>
      </c>
      <c r="AD183" s="341" t="s">
        <v>440</v>
      </c>
      <c r="AE183" s="301">
        <v>2</v>
      </c>
      <c r="AF183" s="349" t="s">
        <v>455</v>
      </c>
    </row>
    <row r="184" spans="8:32">
      <c r="H184" s="340" t="s">
        <v>87</v>
      </c>
      <c r="I184" s="341" t="s">
        <v>451</v>
      </c>
      <c r="J184" s="341" t="s">
        <v>456</v>
      </c>
      <c r="K184" s="341" t="s">
        <v>453</v>
      </c>
      <c r="L184" s="341" t="s">
        <v>454</v>
      </c>
      <c r="M184" s="341" t="s">
        <v>445</v>
      </c>
      <c r="N184" s="341">
        <v>0.15</v>
      </c>
      <c r="O184" s="341" t="s">
        <v>443</v>
      </c>
      <c r="P184" s="341">
        <v>20</v>
      </c>
      <c r="Q184" s="341" t="s">
        <v>435</v>
      </c>
      <c r="R184" s="341">
        <v>20</v>
      </c>
      <c r="S184" s="341">
        <v>1</v>
      </c>
      <c r="T184" s="341" t="s">
        <v>440</v>
      </c>
      <c r="U184" s="341">
        <v>1</v>
      </c>
      <c r="V184" s="341" t="s">
        <v>478</v>
      </c>
      <c r="W184" s="341" t="s">
        <v>488</v>
      </c>
      <c r="X184" s="293" t="s">
        <v>491</v>
      </c>
      <c r="Y184" s="293" t="s">
        <v>490</v>
      </c>
      <c r="Z184" s="293">
        <v>5</v>
      </c>
      <c r="AA184" s="293" t="s">
        <v>489</v>
      </c>
      <c r="AB184" s="341" t="s">
        <v>439</v>
      </c>
      <c r="AC184" s="341">
        <v>3</v>
      </c>
      <c r="AD184" s="341" t="s">
        <v>440</v>
      </c>
      <c r="AE184" s="301">
        <v>2</v>
      </c>
      <c r="AF184" s="349" t="s">
        <v>455</v>
      </c>
    </row>
    <row r="185" spans="8:32">
      <c r="H185" s="340" t="s">
        <v>88</v>
      </c>
      <c r="I185" s="341" t="s">
        <v>451</v>
      </c>
      <c r="J185" s="341" t="s">
        <v>456</v>
      </c>
      <c r="K185" s="341" t="s">
        <v>453</v>
      </c>
      <c r="L185" s="341" t="s">
        <v>454</v>
      </c>
      <c r="M185" s="341" t="s">
        <v>445</v>
      </c>
      <c r="N185" s="341">
        <v>0.15</v>
      </c>
      <c r="O185" s="341" t="s">
        <v>443</v>
      </c>
      <c r="P185" s="341">
        <v>20</v>
      </c>
      <c r="Q185" s="341" t="s">
        <v>435</v>
      </c>
      <c r="R185" s="341">
        <v>20</v>
      </c>
      <c r="S185" s="341">
        <v>1</v>
      </c>
      <c r="T185" s="341" t="s">
        <v>440</v>
      </c>
      <c r="U185" s="341">
        <v>1</v>
      </c>
      <c r="V185" s="341" t="s">
        <v>478</v>
      </c>
      <c r="W185" s="341" t="s">
        <v>488</v>
      </c>
      <c r="X185" s="293" t="s">
        <v>491</v>
      </c>
      <c r="Y185" s="293" t="s">
        <v>490</v>
      </c>
      <c r="Z185" s="293">
        <v>5</v>
      </c>
      <c r="AA185" s="293" t="s">
        <v>489</v>
      </c>
      <c r="AB185" s="341" t="s">
        <v>439</v>
      </c>
      <c r="AC185" s="341">
        <v>3</v>
      </c>
      <c r="AD185" s="341" t="s">
        <v>440</v>
      </c>
      <c r="AE185" s="301">
        <v>2</v>
      </c>
      <c r="AF185" s="349" t="s">
        <v>455</v>
      </c>
    </row>
    <row r="186" spans="8:32">
      <c r="H186" s="340" t="s">
        <v>139</v>
      </c>
      <c r="I186" s="341" t="s">
        <v>451</v>
      </c>
      <c r="J186" s="341" t="s">
        <v>456</v>
      </c>
      <c r="K186" s="341" t="s">
        <v>453</v>
      </c>
      <c r="L186" s="341" t="s">
        <v>454</v>
      </c>
      <c r="M186" s="341" t="s">
        <v>445</v>
      </c>
      <c r="N186" s="341">
        <v>0.15</v>
      </c>
      <c r="O186" s="341" t="s">
        <v>443</v>
      </c>
      <c r="P186" s="341">
        <v>20</v>
      </c>
      <c r="Q186" s="341" t="s">
        <v>435</v>
      </c>
      <c r="R186" s="341">
        <v>20</v>
      </c>
      <c r="S186" s="341">
        <v>1</v>
      </c>
      <c r="T186" s="341" t="s">
        <v>438</v>
      </c>
      <c r="U186" s="341">
        <v>1</v>
      </c>
      <c r="V186" s="341" t="s">
        <v>540</v>
      </c>
      <c r="W186" s="341" t="s">
        <v>541</v>
      </c>
      <c r="X186" s="341" t="s">
        <v>542</v>
      </c>
      <c r="Y186" s="341" t="s">
        <v>490</v>
      </c>
      <c r="Z186" s="293" t="s">
        <v>542</v>
      </c>
      <c r="AA186" s="293" t="s">
        <v>543</v>
      </c>
      <c r="AB186" s="341" t="s">
        <v>439</v>
      </c>
      <c r="AC186" s="341">
        <v>6</v>
      </c>
      <c r="AD186" s="341" t="s">
        <v>440</v>
      </c>
      <c r="AE186" s="301">
        <v>2</v>
      </c>
      <c r="AF186" s="349" t="s">
        <v>455</v>
      </c>
    </row>
    <row r="187" spans="8:32">
      <c r="H187" s="340" t="s">
        <v>89</v>
      </c>
      <c r="I187" s="341" t="s">
        <v>451</v>
      </c>
      <c r="J187" s="341" t="s">
        <v>456</v>
      </c>
      <c r="K187" s="341" t="s">
        <v>453</v>
      </c>
      <c r="L187" s="341" t="s">
        <v>454</v>
      </c>
      <c r="M187" s="341" t="s">
        <v>445</v>
      </c>
      <c r="N187" s="341">
        <v>0.15</v>
      </c>
      <c r="O187" s="341" t="s">
        <v>443</v>
      </c>
      <c r="P187" s="341">
        <v>20</v>
      </c>
      <c r="Q187" s="341" t="s">
        <v>435</v>
      </c>
      <c r="R187" s="341">
        <v>20</v>
      </c>
      <c r="S187" s="341">
        <v>1</v>
      </c>
      <c r="T187" s="341" t="s">
        <v>438</v>
      </c>
      <c r="U187" s="341">
        <v>1</v>
      </c>
      <c r="V187" s="341" t="s">
        <v>540</v>
      </c>
      <c r="W187" s="341" t="s">
        <v>541</v>
      </c>
      <c r="X187" s="341" t="s">
        <v>542</v>
      </c>
      <c r="Y187" s="341" t="s">
        <v>490</v>
      </c>
      <c r="Z187" s="293" t="s">
        <v>542</v>
      </c>
      <c r="AA187" s="293" t="s">
        <v>543</v>
      </c>
      <c r="AB187" s="341" t="s">
        <v>439</v>
      </c>
      <c r="AC187" s="341">
        <v>6</v>
      </c>
      <c r="AD187" s="341" t="s">
        <v>440</v>
      </c>
      <c r="AE187" s="301">
        <v>2</v>
      </c>
      <c r="AF187" s="349" t="s">
        <v>455</v>
      </c>
    </row>
    <row r="188" spans="8:32">
      <c r="H188" s="340" t="s">
        <v>140</v>
      </c>
      <c r="I188" s="341" t="s">
        <v>451</v>
      </c>
      <c r="J188" s="341" t="s">
        <v>456</v>
      </c>
      <c r="K188" s="341" t="s">
        <v>453</v>
      </c>
      <c r="L188" s="341" t="s">
        <v>454</v>
      </c>
      <c r="M188" s="341" t="s">
        <v>445</v>
      </c>
      <c r="N188" s="341">
        <v>0.15</v>
      </c>
      <c r="O188" s="341" t="s">
        <v>443</v>
      </c>
      <c r="P188" s="341">
        <v>20</v>
      </c>
      <c r="Q188" s="341" t="s">
        <v>435</v>
      </c>
      <c r="R188" s="341">
        <v>20</v>
      </c>
      <c r="S188" s="341">
        <v>1</v>
      </c>
      <c r="T188" s="341" t="s">
        <v>438</v>
      </c>
      <c r="U188" s="341">
        <v>1</v>
      </c>
      <c r="V188" s="341" t="s">
        <v>540</v>
      </c>
      <c r="W188" s="341" t="s">
        <v>541</v>
      </c>
      <c r="X188" s="341" t="s">
        <v>542</v>
      </c>
      <c r="Y188" s="341" t="s">
        <v>490</v>
      </c>
      <c r="Z188" s="293" t="s">
        <v>542</v>
      </c>
      <c r="AA188" s="293" t="s">
        <v>543</v>
      </c>
      <c r="AB188" s="341" t="s">
        <v>439</v>
      </c>
      <c r="AC188" s="341">
        <v>6</v>
      </c>
      <c r="AD188" s="341" t="s">
        <v>440</v>
      </c>
      <c r="AE188" s="301">
        <v>2</v>
      </c>
      <c r="AF188" s="349" t="s">
        <v>455</v>
      </c>
    </row>
    <row r="189" spans="8:32">
      <c r="H189" s="340" t="s">
        <v>141</v>
      </c>
      <c r="I189" s="341" t="s">
        <v>451</v>
      </c>
      <c r="J189" s="341" t="s">
        <v>456</v>
      </c>
      <c r="K189" s="341" t="s">
        <v>453</v>
      </c>
      <c r="L189" s="341" t="s">
        <v>454</v>
      </c>
      <c r="M189" s="341" t="s">
        <v>445</v>
      </c>
      <c r="N189" s="341">
        <v>0.15</v>
      </c>
      <c r="O189" s="341" t="s">
        <v>443</v>
      </c>
      <c r="P189" s="341">
        <v>20</v>
      </c>
      <c r="Q189" s="341" t="s">
        <v>435</v>
      </c>
      <c r="R189" s="341">
        <v>20</v>
      </c>
      <c r="S189" s="341">
        <v>1</v>
      </c>
      <c r="T189" s="341" t="s">
        <v>438</v>
      </c>
      <c r="U189" s="341">
        <v>1</v>
      </c>
      <c r="V189" s="341" t="s">
        <v>540</v>
      </c>
      <c r="W189" s="341" t="s">
        <v>541</v>
      </c>
      <c r="X189" s="341" t="s">
        <v>542</v>
      </c>
      <c r="Y189" s="341" t="s">
        <v>490</v>
      </c>
      <c r="Z189" s="293" t="s">
        <v>542</v>
      </c>
      <c r="AA189" s="293" t="s">
        <v>543</v>
      </c>
      <c r="AB189" s="341" t="s">
        <v>439</v>
      </c>
      <c r="AC189" s="341">
        <v>6</v>
      </c>
      <c r="AD189" s="341" t="s">
        <v>440</v>
      </c>
      <c r="AE189" s="301">
        <v>2</v>
      </c>
      <c r="AF189" s="349" t="s">
        <v>455</v>
      </c>
    </row>
    <row r="190" spans="8:32">
      <c r="H190" s="340" t="s">
        <v>142</v>
      </c>
      <c r="I190" s="341" t="s">
        <v>451</v>
      </c>
      <c r="J190" s="341" t="s">
        <v>456</v>
      </c>
      <c r="K190" s="341" t="s">
        <v>453</v>
      </c>
      <c r="L190" s="341" t="s">
        <v>454</v>
      </c>
      <c r="M190" s="341" t="s">
        <v>445</v>
      </c>
      <c r="N190" s="341">
        <v>0.15</v>
      </c>
      <c r="O190" s="341" t="s">
        <v>443</v>
      </c>
      <c r="P190" s="341">
        <v>20</v>
      </c>
      <c r="Q190" s="341" t="s">
        <v>435</v>
      </c>
      <c r="R190" s="341">
        <v>20</v>
      </c>
      <c r="S190" s="341">
        <v>1</v>
      </c>
      <c r="T190" s="341" t="s">
        <v>438</v>
      </c>
      <c r="U190" s="341">
        <v>1</v>
      </c>
      <c r="V190" s="341" t="s">
        <v>540</v>
      </c>
      <c r="W190" s="341" t="s">
        <v>541</v>
      </c>
      <c r="X190" s="341" t="s">
        <v>542</v>
      </c>
      <c r="Y190" s="341" t="s">
        <v>490</v>
      </c>
      <c r="Z190" s="293" t="s">
        <v>542</v>
      </c>
      <c r="AA190" s="293" t="s">
        <v>543</v>
      </c>
      <c r="AB190" s="341" t="s">
        <v>439</v>
      </c>
      <c r="AC190" s="341">
        <v>6</v>
      </c>
      <c r="AD190" s="341" t="s">
        <v>440</v>
      </c>
      <c r="AE190" s="301">
        <v>2</v>
      </c>
      <c r="AF190" s="349" t="s">
        <v>455</v>
      </c>
    </row>
    <row r="191" spans="8:32">
      <c r="H191" s="340" t="s">
        <v>143</v>
      </c>
      <c r="I191" s="341" t="s">
        <v>451</v>
      </c>
      <c r="J191" s="341" t="s">
        <v>456</v>
      </c>
      <c r="K191" s="341" t="s">
        <v>453</v>
      </c>
      <c r="L191" s="341" t="s">
        <v>454</v>
      </c>
      <c r="M191" s="341" t="s">
        <v>445</v>
      </c>
      <c r="N191" s="341">
        <v>0.15</v>
      </c>
      <c r="O191" s="341" t="s">
        <v>443</v>
      </c>
      <c r="P191" s="341">
        <v>20</v>
      </c>
      <c r="Q191" s="341" t="s">
        <v>435</v>
      </c>
      <c r="R191" s="341">
        <v>20</v>
      </c>
      <c r="S191" s="341">
        <v>1</v>
      </c>
      <c r="T191" s="341" t="s">
        <v>438</v>
      </c>
      <c r="U191" s="341">
        <v>1</v>
      </c>
      <c r="V191" s="341" t="s">
        <v>540</v>
      </c>
      <c r="W191" s="341" t="s">
        <v>541</v>
      </c>
      <c r="X191" s="341" t="s">
        <v>542</v>
      </c>
      <c r="Y191" s="341" t="s">
        <v>490</v>
      </c>
      <c r="Z191" s="293" t="s">
        <v>542</v>
      </c>
      <c r="AA191" s="293" t="s">
        <v>543</v>
      </c>
      <c r="AB191" s="341" t="s">
        <v>439</v>
      </c>
      <c r="AC191" s="341">
        <v>6</v>
      </c>
      <c r="AD191" s="341" t="s">
        <v>440</v>
      </c>
      <c r="AE191" s="301">
        <v>2</v>
      </c>
      <c r="AF191" s="349" t="s">
        <v>455</v>
      </c>
    </row>
    <row r="192" spans="8:32">
      <c r="H192" s="340" t="s">
        <v>144</v>
      </c>
      <c r="I192" s="341" t="s">
        <v>451</v>
      </c>
      <c r="J192" s="341" t="s">
        <v>456</v>
      </c>
      <c r="K192" s="341" t="s">
        <v>453</v>
      </c>
      <c r="L192" s="341" t="s">
        <v>454</v>
      </c>
      <c r="M192" s="341" t="s">
        <v>445</v>
      </c>
      <c r="N192" s="341">
        <v>0.15</v>
      </c>
      <c r="O192" s="341" t="s">
        <v>443</v>
      </c>
      <c r="P192" s="341">
        <v>20</v>
      </c>
      <c r="Q192" s="341" t="s">
        <v>435</v>
      </c>
      <c r="R192" s="341">
        <v>20</v>
      </c>
      <c r="S192" s="341">
        <v>1</v>
      </c>
      <c r="T192" s="341" t="s">
        <v>438</v>
      </c>
      <c r="U192" s="341">
        <v>1</v>
      </c>
      <c r="V192" s="341" t="s">
        <v>540</v>
      </c>
      <c r="W192" s="341" t="s">
        <v>541</v>
      </c>
      <c r="X192" s="341" t="s">
        <v>542</v>
      </c>
      <c r="Y192" s="341" t="s">
        <v>490</v>
      </c>
      <c r="Z192" s="293" t="s">
        <v>542</v>
      </c>
      <c r="AA192" s="293" t="s">
        <v>543</v>
      </c>
      <c r="AB192" s="341" t="s">
        <v>439</v>
      </c>
      <c r="AC192" s="341">
        <v>6</v>
      </c>
      <c r="AD192" s="341" t="s">
        <v>440</v>
      </c>
      <c r="AE192" s="301">
        <v>2</v>
      </c>
      <c r="AF192" s="349" t="s">
        <v>455</v>
      </c>
    </row>
    <row r="193" spans="8:32">
      <c r="H193" s="340" t="s">
        <v>145</v>
      </c>
      <c r="I193" s="341" t="s">
        <v>451</v>
      </c>
      <c r="J193" s="341" t="s">
        <v>456</v>
      </c>
      <c r="K193" s="341" t="s">
        <v>453</v>
      </c>
      <c r="L193" s="341" t="s">
        <v>454</v>
      </c>
      <c r="M193" s="341" t="s">
        <v>445</v>
      </c>
      <c r="N193" s="341">
        <v>0.15</v>
      </c>
      <c r="O193" s="341" t="s">
        <v>443</v>
      </c>
      <c r="P193" s="341">
        <v>20</v>
      </c>
      <c r="Q193" s="341" t="s">
        <v>435</v>
      </c>
      <c r="R193" s="341">
        <v>20</v>
      </c>
      <c r="S193" s="341">
        <v>1</v>
      </c>
      <c r="T193" s="341" t="s">
        <v>438</v>
      </c>
      <c r="U193" s="341">
        <v>1</v>
      </c>
      <c r="V193" s="341" t="s">
        <v>540</v>
      </c>
      <c r="W193" s="341" t="s">
        <v>541</v>
      </c>
      <c r="X193" s="341" t="s">
        <v>542</v>
      </c>
      <c r="Y193" s="341" t="s">
        <v>490</v>
      </c>
      <c r="Z193" s="293" t="s">
        <v>542</v>
      </c>
      <c r="AA193" s="293" t="s">
        <v>543</v>
      </c>
      <c r="AB193" s="341" t="s">
        <v>439</v>
      </c>
      <c r="AC193" s="341">
        <v>6</v>
      </c>
      <c r="AD193" s="341" t="s">
        <v>440</v>
      </c>
      <c r="AE193" s="301">
        <v>2</v>
      </c>
      <c r="AF193" s="349" t="s">
        <v>455</v>
      </c>
    </row>
    <row r="194" spans="8:32">
      <c r="H194" s="340" t="s">
        <v>310</v>
      </c>
      <c r="I194" s="341" t="s">
        <v>451</v>
      </c>
      <c r="J194" s="341" t="s">
        <v>456</v>
      </c>
      <c r="K194" s="341" t="s">
        <v>453</v>
      </c>
      <c r="L194" s="341" t="s">
        <v>454</v>
      </c>
      <c r="M194" s="341" t="s">
        <v>445</v>
      </c>
      <c r="N194" s="341">
        <v>0.15</v>
      </c>
      <c r="O194" s="341" t="s">
        <v>443</v>
      </c>
      <c r="P194" s="341">
        <v>20</v>
      </c>
      <c r="Q194" s="341" t="s">
        <v>435</v>
      </c>
      <c r="R194" s="341">
        <v>20</v>
      </c>
      <c r="S194" s="341">
        <v>1</v>
      </c>
      <c r="T194" s="341" t="s">
        <v>438</v>
      </c>
      <c r="U194" s="341">
        <v>1</v>
      </c>
      <c r="V194" s="341" t="s">
        <v>540</v>
      </c>
      <c r="W194" s="341" t="s">
        <v>541</v>
      </c>
      <c r="X194" s="341" t="s">
        <v>542</v>
      </c>
      <c r="Y194" s="341" t="s">
        <v>490</v>
      </c>
      <c r="Z194" s="293" t="s">
        <v>542</v>
      </c>
      <c r="AA194" s="293" t="s">
        <v>543</v>
      </c>
      <c r="AB194" s="341" t="s">
        <v>439</v>
      </c>
      <c r="AC194" s="341">
        <v>6</v>
      </c>
      <c r="AD194" s="341" t="s">
        <v>440</v>
      </c>
      <c r="AE194" s="301">
        <v>2</v>
      </c>
      <c r="AF194" s="349" t="s">
        <v>455</v>
      </c>
    </row>
    <row r="195" spans="8:32">
      <c r="H195" s="340" t="s">
        <v>309</v>
      </c>
      <c r="I195" s="341" t="s">
        <v>451</v>
      </c>
      <c r="J195" s="341" t="s">
        <v>456</v>
      </c>
      <c r="K195" s="341" t="s">
        <v>453</v>
      </c>
      <c r="L195" s="341" t="s">
        <v>454</v>
      </c>
      <c r="M195" s="341" t="s">
        <v>445</v>
      </c>
      <c r="N195" s="341">
        <v>0.15</v>
      </c>
      <c r="O195" s="341" t="s">
        <v>443</v>
      </c>
      <c r="P195" s="341">
        <v>20</v>
      </c>
      <c r="Q195" s="341" t="s">
        <v>435</v>
      </c>
      <c r="R195" s="341">
        <v>20</v>
      </c>
      <c r="S195" s="341">
        <v>1</v>
      </c>
      <c r="T195" s="341" t="s">
        <v>438</v>
      </c>
      <c r="U195" s="341">
        <v>1</v>
      </c>
      <c r="V195" s="341" t="s">
        <v>540</v>
      </c>
      <c r="W195" s="341" t="s">
        <v>541</v>
      </c>
      <c r="X195" s="341" t="s">
        <v>542</v>
      </c>
      <c r="Y195" s="341" t="s">
        <v>490</v>
      </c>
      <c r="Z195" s="293" t="s">
        <v>542</v>
      </c>
      <c r="AA195" s="293" t="s">
        <v>543</v>
      </c>
      <c r="AB195" s="341" t="s">
        <v>439</v>
      </c>
      <c r="AC195" s="341">
        <v>6</v>
      </c>
      <c r="AD195" s="341" t="s">
        <v>440</v>
      </c>
      <c r="AE195" s="301">
        <v>2</v>
      </c>
      <c r="AF195" s="349" t="s">
        <v>455</v>
      </c>
    </row>
    <row r="196" spans="8:32">
      <c r="H196" s="340" t="s">
        <v>308</v>
      </c>
      <c r="I196" s="341" t="s">
        <v>451</v>
      </c>
      <c r="J196" s="341" t="s">
        <v>456</v>
      </c>
      <c r="K196" s="341" t="s">
        <v>453</v>
      </c>
      <c r="L196" s="341" t="s">
        <v>454</v>
      </c>
      <c r="M196" s="341" t="s">
        <v>445</v>
      </c>
      <c r="N196" s="341">
        <v>0.15</v>
      </c>
      <c r="O196" s="341" t="s">
        <v>443</v>
      </c>
      <c r="P196" s="341">
        <v>20</v>
      </c>
      <c r="Q196" s="341" t="s">
        <v>435</v>
      </c>
      <c r="R196" s="341">
        <v>20</v>
      </c>
      <c r="S196" s="341">
        <v>1</v>
      </c>
      <c r="T196" s="341" t="s">
        <v>438</v>
      </c>
      <c r="U196" s="341">
        <v>1</v>
      </c>
      <c r="V196" s="341" t="s">
        <v>540</v>
      </c>
      <c r="W196" s="341" t="s">
        <v>541</v>
      </c>
      <c r="X196" s="341" t="s">
        <v>542</v>
      </c>
      <c r="Y196" s="341" t="s">
        <v>490</v>
      </c>
      <c r="Z196" s="293" t="s">
        <v>542</v>
      </c>
      <c r="AA196" s="293" t="s">
        <v>543</v>
      </c>
      <c r="AB196" s="341" t="s">
        <v>439</v>
      </c>
      <c r="AC196" s="341">
        <v>6</v>
      </c>
      <c r="AD196" s="341" t="s">
        <v>440</v>
      </c>
      <c r="AE196" s="301">
        <v>2</v>
      </c>
      <c r="AF196" s="349" t="s">
        <v>455</v>
      </c>
    </row>
    <row r="197" spans="8:32">
      <c r="H197" s="340" t="s">
        <v>146</v>
      </c>
      <c r="I197" s="341" t="s">
        <v>451</v>
      </c>
      <c r="J197" s="341" t="s">
        <v>456</v>
      </c>
      <c r="K197" s="341" t="s">
        <v>453</v>
      </c>
      <c r="L197" s="341" t="s">
        <v>454</v>
      </c>
      <c r="M197" s="341" t="s">
        <v>445</v>
      </c>
      <c r="N197" s="341">
        <v>0.15</v>
      </c>
      <c r="O197" s="341" t="s">
        <v>443</v>
      </c>
      <c r="P197" s="341">
        <v>20</v>
      </c>
      <c r="Q197" s="341" t="s">
        <v>435</v>
      </c>
      <c r="R197" s="341">
        <v>20</v>
      </c>
      <c r="S197" s="341">
        <v>1</v>
      </c>
      <c r="T197" s="341" t="s">
        <v>438</v>
      </c>
      <c r="U197" s="341">
        <v>1</v>
      </c>
      <c r="V197" s="341" t="s">
        <v>540</v>
      </c>
      <c r="W197" s="341" t="s">
        <v>541</v>
      </c>
      <c r="X197" s="341" t="s">
        <v>542</v>
      </c>
      <c r="Y197" s="341" t="s">
        <v>490</v>
      </c>
      <c r="Z197" s="293" t="s">
        <v>542</v>
      </c>
      <c r="AA197" s="293" t="s">
        <v>543</v>
      </c>
      <c r="AB197" s="341" t="s">
        <v>439</v>
      </c>
      <c r="AC197" s="341">
        <v>6</v>
      </c>
      <c r="AD197" s="341" t="s">
        <v>440</v>
      </c>
      <c r="AE197" s="301">
        <v>2</v>
      </c>
      <c r="AF197" s="349" t="s">
        <v>455</v>
      </c>
    </row>
    <row r="198" spans="8:32">
      <c r="H198" s="340" t="s">
        <v>91</v>
      </c>
      <c r="I198" s="341" t="s">
        <v>451</v>
      </c>
      <c r="J198" s="341" t="s">
        <v>456</v>
      </c>
      <c r="K198" s="341" t="s">
        <v>453</v>
      </c>
      <c r="L198" s="341" t="s">
        <v>454</v>
      </c>
      <c r="M198" s="341" t="s">
        <v>445</v>
      </c>
      <c r="N198" s="341">
        <v>0.15</v>
      </c>
      <c r="O198" s="341" t="s">
        <v>443</v>
      </c>
      <c r="P198" s="341">
        <v>20</v>
      </c>
      <c r="Q198" s="341" t="s">
        <v>435</v>
      </c>
      <c r="R198" s="341">
        <v>20</v>
      </c>
      <c r="S198" s="341">
        <v>1</v>
      </c>
      <c r="T198" s="341" t="s">
        <v>440</v>
      </c>
      <c r="U198" s="341">
        <v>1</v>
      </c>
      <c r="V198" s="341" t="s">
        <v>478</v>
      </c>
      <c r="W198" s="341" t="s">
        <v>488</v>
      </c>
      <c r="X198" s="293" t="s">
        <v>491</v>
      </c>
      <c r="Y198" s="293" t="s">
        <v>490</v>
      </c>
      <c r="Z198" s="293">
        <v>5</v>
      </c>
      <c r="AA198" s="293" t="s">
        <v>489</v>
      </c>
      <c r="AB198" s="341" t="s">
        <v>439</v>
      </c>
      <c r="AC198" s="341">
        <v>3</v>
      </c>
      <c r="AD198" s="341" t="s">
        <v>440</v>
      </c>
      <c r="AE198" s="301">
        <v>2</v>
      </c>
      <c r="AF198" s="349" t="s">
        <v>455</v>
      </c>
    </row>
    <row r="199" spans="8:32">
      <c r="H199" s="340" t="s">
        <v>306</v>
      </c>
      <c r="I199" s="341" t="s">
        <v>451</v>
      </c>
      <c r="J199" s="341" t="s">
        <v>456</v>
      </c>
      <c r="K199" s="341" t="s">
        <v>453</v>
      </c>
      <c r="L199" s="341" t="s">
        <v>454</v>
      </c>
      <c r="M199" s="341" t="s">
        <v>445</v>
      </c>
      <c r="N199" s="341">
        <v>0.15</v>
      </c>
      <c r="O199" s="341" t="s">
        <v>443</v>
      </c>
      <c r="P199" s="341">
        <v>20</v>
      </c>
      <c r="Q199" s="341" t="s">
        <v>435</v>
      </c>
      <c r="R199" s="341">
        <v>20</v>
      </c>
      <c r="S199" s="341">
        <v>1</v>
      </c>
      <c r="T199" s="341" t="s">
        <v>440</v>
      </c>
      <c r="U199" s="341">
        <v>1</v>
      </c>
      <c r="V199" s="341" t="s">
        <v>478</v>
      </c>
      <c r="W199" s="341" t="s">
        <v>488</v>
      </c>
      <c r="X199" s="293" t="s">
        <v>491</v>
      </c>
      <c r="Y199" s="293" t="s">
        <v>490</v>
      </c>
      <c r="Z199" s="293">
        <v>5</v>
      </c>
      <c r="AA199" s="293" t="s">
        <v>489</v>
      </c>
      <c r="AB199" s="341" t="s">
        <v>439</v>
      </c>
      <c r="AC199" s="341">
        <v>3</v>
      </c>
      <c r="AD199" s="341" t="s">
        <v>440</v>
      </c>
      <c r="AE199" s="301">
        <v>2</v>
      </c>
      <c r="AF199" s="349" t="s">
        <v>455</v>
      </c>
    </row>
    <row r="200" spans="8:32">
      <c r="H200" s="340" t="s">
        <v>92</v>
      </c>
      <c r="I200" s="341" t="s">
        <v>451</v>
      </c>
      <c r="J200" s="341" t="s">
        <v>456</v>
      </c>
      <c r="K200" s="341" t="s">
        <v>453</v>
      </c>
      <c r="L200" s="341" t="s">
        <v>454</v>
      </c>
      <c r="M200" s="341" t="s">
        <v>445</v>
      </c>
      <c r="N200" s="341">
        <v>0.15</v>
      </c>
      <c r="O200" s="341" t="s">
        <v>443</v>
      </c>
      <c r="P200" s="341">
        <v>20</v>
      </c>
      <c r="Q200" s="341" t="s">
        <v>435</v>
      </c>
      <c r="R200" s="341">
        <v>20</v>
      </c>
      <c r="S200" s="341">
        <v>1</v>
      </c>
      <c r="T200" s="341" t="s">
        <v>440</v>
      </c>
      <c r="U200" s="341">
        <v>1</v>
      </c>
      <c r="V200" s="341" t="s">
        <v>478</v>
      </c>
      <c r="W200" s="341" t="s">
        <v>488</v>
      </c>
      <c r="X200" s="293" t="s">
        <v>491</v>
      </c>
      <c r="Y200" s="293" t="s">
        <v>490</v>
      </c>
      <c r="Z200" s="293">
        <v>5</v>
      </c>
      <c r="AA200" s="293" t="s">
        <v>489</v>
      </c>
      <c r="AB200" s="341" t="s">
        <v>439</v>
      </c>
      <c r="AC200" s="341">
        <v>3</v>
      </c>
      <c r="AD200" s="341" t="s">
        <v>440</v>
      </c>
      <c r="AE200" s="301">
        <v>2</v>
      </c>
      <c r="AF200" s="349" t="s">
        <v>455</v>
      </c>
    </row>
    <row r="201" spans="8:32">
      <c r="H201" s="340" t="s">
        <v>93</v>
      </c>
      <c r="I201" s="341" t="s">
        <v>451</v>
      </c>
      <c r="J201" s="341" t="s">
        <v>456</v>
      </c>
      <c r="K201" s="341" t="s">
        <v>453</v>
      </c>
      <c r="L201" s="341" t="s">
        <v>454</v>
      </c>
      <c r="M201" s="341" t="s">
        <v>445</v>
      </c>
      <c r="N201" s="341">
        <v>0.15</v>
      </c>
      <c r="O201" s="341" t="s">
        <v>443</v>
      </c>
      <c r="P201" s="341">
        <v>20</v>
      </c>
      <c r="Q201" s="341" t="s">
        <v>435</v>
      </c>
      <c r="R201" s="341">
        <v>20</v>
      </c>
      <c r="S201" s="341">
        <v>1</v>
      </c>
      <c r="T201" s="341" t="s">
        <v>440</v>
      </c>
      <c r="U201" s="341">
        <v>1</v>
      </c>
      <c r="V201" s="341" t="s">
        <v>478</v>
      </c>
      <c r="W201" s="341" t="s">
        <v>488</v>
      </c>
      <c r="X201" s="293" t="s">
        <v>491</v>
      </c>
      <c r="Y201" s="293" t="s">
        <v>490</v>
      </c>
      <c r="Z201" s="293">
        <v>5</v>
      </c>
      <c r="AA201" s="293" t="s">
        <v>489</v>
      </c>
      <c r="AB201" s="341" t="s">
        <v>439</v>
      </c>
      <c r="AC201" s="341">
        <v>3</v>
      </c>
      <c r="AD201" s="341" t="s">
        <v>440</v>
      </c>
      <c r="AE201" s="301">
        <v>2</v>
      </c>
      <c r="AF201" s="349" t="s">
        <v>455</v>
      </c>
    </row>
    <row r="202" spans="8:32">
      <c r="H202" s="340" t="s">
        <v>94</v>
      </c>
      <c r="I202" s="341" t="s">
        <v>451</v>
      </c>
      <c r="J202" s="341" t="s">
        <v>456</v>
      </c>
      <c r="K202" s="341" t="s">
        <v>453</v>
      </c>
      <c r="L202" s="341" t="s">
        <v>454</v>
      </c>
      <c r="M202" s="341" t="s">
        <v>445</v>
      </c>
      <c r="N202" s="341">
        <v>0.15</v>
      </c>
      <c r="O202" s="341" t="s">
        <v>443</v>
      </c>
      <c r="P202" s="341">
        <v>20</v>
      </c>
      <c r="Q202" s="341" t="s">
        <v>435</v>
      </c>
      <c r="R202" s="341">
        <v>20</v>
      </c>
      <c r="S202" s="341">
        <v>1</v>
      </c>
      <c r="T202" s="341" t="s">
        <v>438</v>
      </c>
      <c r="U202" s="341">
        <v>1</v>
      </c>
      <c r="V202" s="341" t="s">
        <v>540</v>
      </c>
      <c r="W202" s="341" t="s">
        <v>541</v>
      </c>
      <c r="X202" s="341" t="s">
        <v>542</v>
      </c>
      <c r="Y202" s="341" t="s">
        <v>490</v>
      </c>
      <c r="Z202" s="293" t="s">
        <v>542</v>
      </c>
      <c r="AA202" s="293" t="s">
        <v>543</v>
      </c>
      <c r="AB202" s="341" t="s">
        <v>439</v>
      </c>
      <c r="AC202" s="341">
        <v>6</v>
      </c>
      <c r="AD202" s="341" t="s">
        <v>440</v>
      </c>
      <c r="AE202" s="301">
        <v>2</v>
      </c>
      <c r="AF202" s="349" t="s">
        <v>455</v>
      </c>
    </row>
    <row r="203" spans="8:32">
      <c r="H203" s="340" t="s">
        <v>97</v>
      </c>
      <c r="I203" s="341" t="s">
        <v>451</v>
      </c>
      <c r="J203" s="341" t="s">
        <v>456</v>
      </c>
      <c r="K203" s="341" t="s">
        <v>453</v>
      </c>
      <c r="L203" s="341" t="s">
        <v>454</v>
      </c>
      <c r="M203" s="341" t="s">
        <v>445</v>
      </c>
      <c r="N203" s="341">
        <v>0.15</v>
      </c>
      <c r="O203" s="341" t="s">
        <v>443</v>
      </c>
      <c r="P203" s="341">
        <v>20</v>
      </c>
      <c r="Q203" s="341" t="s">
        <v>435</v>
      </c>
      <c r="R203" s="341">
        <v>20</v>
      </c>
      <c r="S203" s="341">
        <v>1</v>
      </c>
      <c r="T203" s="341" t="s">
        <v>440</v>
      </c>
      <c r="U203" s="341">
        <v>1</v>
      </c>
      <c r="V203" s="341" t="s">
        <v>478</v>
      </c>
      <c r="W203" s="341" t="s">
        <v>488</v>
      </c>
      <c r="X203" s="293" t="s">
        <v>491</v>
      </c>
      <c r="Y203" s="293" t="s">
        <v>490</v>
      </c>
      <c r="Z203" s="293">
        <v>5</v>
      </c>
      <c r="AA203" s="293" t="s">
        <v>489</v>
      </c>
      <c r="AB203" s="341" t="s">
        <v>439</v>
      </c>
      <c r="AC203" s="341">
        <v>3</v>
      </c>
      <c r="AD203" s="341" t="s">
        <v>440</v>
      </c>
      <c r="AE203" s="301">
        <v>2</v>
      </c>
      <c r="AF203" s="349" t="s">
        <v>455</v>
      </c>
    </row>
    <row r="204" spans="8:32">
      <c r="H204" s="340" t="s">
        <v>98</v>
      </c>
      <c r="I204" s="341" t="s">
        <v>451</v>
      </c>
      <c r="J204" s="341" t="s">
        <v>456</v>
      </c>
      <c r="K204" s="341" t="s">
        <v>453</v>
      </c>
      <c r="L204" s="341" t="s">
        <v>454</v>
      </c>
      <c r="M204" s="341" t="s">
        <v>445</v>
      </c>
      <c r="N204" s="341">
        <v>0.15</v>
      </c>
      <c r="O204" s="341" t="s">
        <v>443</v>
      </c>
      <c r="P204" s="341">
        <v>20</v>
      </c>
      <c r="Q204" s="341" t="s">
        <v>435</v>
      </c>
      <c r="R204" s="341">
        <v>20</v>
      </c>
      <c r="S204" s="341">
        <v>1</v>
      </c>
      <c r="T204" s="341" t="s">
        <v>440</v>
      </c>
      <c r="U204" s="341">
        <v>1</v>
      </c>
      <c r="V204" s="341" t="s">
        <v>478</v>
      </c>
      <c r="W204" s="341" t="s">
        <v>488</v>
      </c>
      <c r="X204" s="293" t="s">
        <v>491</v>
      </c>
      <c r="Y204" s="293" t="s">
        <v>490</v>
      </c>
      <c r="Z204" s="293">
        <v>5</v>
      </c>
      <c r="AA204" s="293" t="s">
        <v>489</v>
      </c>
      <c r="AB204" s="341" t="s">
        <v>439</v>
      </c>
      <c r="AC204" s="341">
        <v>3</v>
      </c>
      <c r="AD204" s="341" t="s">
        <v>440</v>
      </c>
      <c r="AE204" s="301">
        <v>2</v>
      </c>
      <c r="AF204" s="349" t="s">
        <v>455</v>
      </c>
    </row>
    <row r="205" spans="8:32">
      <c r="H205" s="340" t="s">
        <v>104</v>
      </c>
      <c r="I205" s="341" t="s">
        <v>451</v>
      </c>
      <c r="J205" s="341" t="s">
        <v>456</v>
      </c>
      <c r="K205" s="341" t="s">
        <v>453</v>
      </c>
      <c r="L205" s="341" t="s">
        <v>454</v>
      </c>
      <c r="M205" s="341" t="s">
        <v>445</v>
      </c>
      <c r="N205" s="341">
        <v>0.15</v>
      </c>
      <c r="O205" s="341" t="s">
        <v>443</v>
      </c>
      <c r="P205" s="341">
        <v>20</v>
      </c>
      <c r="Q205" s="341" t="s">
        <v>435</v>
      </c>
      <c r="R205" s="341">
        <v>20</v>
      </c>
      <c r="S205" s="341">
        <v>1</v>
      </c>
      <c r="T205" s="341" t="s">
        <v>440</v>
      </c>
      <c r="U205" s="341">
        <v>1</v>
      </c>
      <c r="V205" s="341" t="s">
        <v>478</v>
      </c>
      <c r="W205" s="341" t="s">
        <v>488</v>
      </c>
      <c r="X205" s="293" t="s">
        <v>491</v>
      </c>
      <c r="Y205" s="293" t="s">
        <v>490</v>
      </c>
      <c r="Z205" s="293">
        <v>5</v>
      </c>
      <c r="AA205" s="293" t="s">
        <v>489</v>
      </c>
      <c r="AB205" s="341" t="s">
        <v>439</v>
      </c>
      <c r="AC205" s="341">
        <v>3</v>
      </c>
      <c r="AD205" s="341" t="s">
        <v>440</v>
      </c>
      <c r="AE205" s="301">
        <v>2</v>
      </c>
      <c r="AF205" s="349" t="s">
        <v>455</v>
      </c>
    </row>
    <row r="206" spans="8:32">
      <c r="H206" s="340" t="s">
        <v>303</v>
      </c>
      <c r="I206" s="341" t="s">
        <v>451</v>
      </c>
      <c r="J206" s="341" t="s">
        <v>456</v>
      </c>
      <c r="K206" s="341" t="s">
        <v>453</v>
      </c>
      <c r="L206" s="341" t="s">
        <v>454</v>
      </c>
      <c r="M206" s="341" t="s">
        <v>445</v>
      </c>
      <c r="N206" s="341">
        <v>0.15</v>
      </c>
      <c r="O206" s="341" t="s">
        <v>443</v>
      </c>
      <c r="P206" s="341">
        <v>20</v>
      </c>
      <c r="Q206" s="341" t="s">
        <v>435</v>
      </c>
      <c r="R206" s="341">
        <v>20</v>
      </c>
      <c r="S206" s="341">
        <v>1</v>
      </c>
      <c r="T206" s="341" t="s">
        <v>440</v>
      </c>
      <c r="U206" s="341">
        <v>1</v>
      </c>
      <c r="V206" s="341" t="s">
        <v>478</v>
      </c>
      <c r="W206" s="341" t="s">
        <v>488</v>
      </c>
      <c r="X206" s="293" t="s">
        <v>491</v>
      </c>
      <c r="Y206" s="293" t="s">
        <v>490</v>
      </c>
      <c r="Z206" s="293">
        <v>5</v>
      </c>
      <c r="AA206" s="293" t="s">
        <v>489</v>
      </c>
      <c r="AB206" s="341" t="s">
        <v>439</v>
      </c>
      <c r="AC206" s="341">
        <v>3</v>
      </c>
      <c r="AD206" s="341" t="s">
        <v>440</v>
      </c>
      <c r="AE206" s="301">
        <v>2</v>
      </c>
      <c r="AF206" s="349" t="s">
        <v>455</v>
      </c>
    </row>
    <row r="207" spans="8:32">
      <c r="H207" s="340" t="s">
        <v>105</v>
      </c>
      <c r="I207" s="341" t="s">
        <v>451</v>
      </c>
      <c r="J207" s="341" t="s">
        <v>456</v>
      </c>
      <c r="K207" s="341" t="s">
        <v>453</v>
      </c>
      <c r="L207" s="341" t="s">
        <v>454</v>
      </c>
      <c r="M207" s="341" t="s">
        <v>445</v>
      </c>
      <c r="N207" s="341">
        <v>0.15</v>
      </c>
      <c r="O207" s="341" t="s">
        <v>443</v>
      </c>
      <c r="P207" s="341">
        <v>20</v>
      </c>
      <c r="Q207" s="341" t="s">
        <v>435</v>
      </c>
      <c r="R207" s="341">
        <v>20</v>
      </c>
      <c r="S207" s="341">
        <v>1</v>
      </c>
      <c r="T207" s="341" t="s">
        <v>440</v>
      </c>
      <c r="U207" s="341">
        <v>1</v>
      </c>
      <c r="V207" s="341" t="s">
        <v>478</v>
      </c>
      <c r="W207" s="341" t="s">
        <v>488</v>
      </c>
      <c r="X207" s="293" t="s">
        <v>491</v>
      </c>
      <c r="Y207" s="293" t="s">
        <v>490</v>
      </c>
      <c r="Z207" s="293">
        <v>5</v>
      </c>
      <c r="AA207" s="293" t="s">
        <v>489</v>
      </c>
      <c r="AB207" s="341" t="s">
        <v>439</v>
      </c>
      <c r="AC207" s="341">
        <v>3</v>
      </c>
      <c r="AD207" s="341" t="s">
        <v>440</v>
      </c>
      <c r="AE207" s="301">
        <v>2</v>
      </c>
      <c r="AF207" s="349" t="s">
        <v>455</v>
      </c>
    </row>
    <row r="208" spans="8:32">
      <c r="H208" s="340" t="s">
        <v>106</v>
      </c>
      <c r="I208" s="341" t="s">
        <v>451</v>
      </c>
      <c r="J208" s="341" t="s">
        <v>456</v>
      </c>
      <c r="K208" s="341" t="s">
        <v>453</v>
      </c>
      <c r="L208" s="341" t="s">
        <v>454</v>
      </c>
      <c r="M208" s="341" t="s">
        <v>445</v>
      </c>
      <c r="N208" s="341">
        <v>0.15</v>
      </c>
      <c r="O208" s="341" t="s">
        <v>443</v>
      </c>
      <c r="P208" s="341">
        <v>20</v>
      </c>
      <c r="Q208" s="341" t="s">
        <v>435</v>
      </c>
      <c r="R208" s="341">
        <v>20</v>
      </c>
      <c r="S208" s="341">
        <v>1</v>
      </c>
      <c r="T208" s="341" t="s">
        <v>440</v>
      </c>
      <c r="U208" s="341">
        <v>1</v>
      </c>
      <c r="V208" s="341" t="s">
        <v>478</v>
      </c>
      <c r="W208" s="341" t="s">
        <v>488</v>
      </c>
      <c r="X208" s="293" t="s">
        <v>491</v>
      </c>
      <c r="Y208" s="293" t="s">
        <v>490</v>
      </c>
      <c r="Z208" s="293">
        <v>5</v>
      </c>
      <c r="AA208" s="293" t="s">
        <v>489</v>
      </c>
      <c r="AB208" s="341" t="s">
        <v>439</v>
      </c>
      <c r="AC208" s="341">
        <v>3</v>
      </c>
      <c r="AD208" s="341" t="s">
        <v>440</v>
      </c>
      <c r="AE208" s="301">
        <v>2</v>
      </c>
      <c r="AF208" s="349" t="s">
        <v>455</v>
      </c>
    </row>
    <row r="209" spans="8:32">
      <c r="H209" s="340" t="s">
        <v>158</v>
      </c>
      <c r="I209" s="341" t="s">
        <v>451</v>
      </c>
      <c r="J209" s="341" t="s">
        <v>456</v>
      </c>
      <c r="K209" s="341" t="s">
        <v>453</v>
      </c>
      <c r="L209" s="341" t="s">
        <v>454</v>
      </c>
      <c r="M209" s="341" t="s">
        <v>445</v>
      </c>
      <c r="N209" s="341">
        <v>0.15</v>
      </c>
      <c r="O209" s="341" t="s">
        <v>443</v>
      </c>
      <c r="P209" s="341">
        <v>20</v>
      </c>
      <c r="Q209" s="341" t="s">
        <v>435</v>
      </c>
      <c r="R209" s="341">
        <v>20</v>
      </c>
      <c r="S209" s="341">
        <v>1</v>
      </c>
      <c r="T209" s="341" t="s">
        <v>438</v>
      </c>
      <c r="U209" s="341">
        <v>1</v>
      </c>
      <c r="V209" s="341" t="s">
        <v>540</v>
      </c>
      <c r="W209" s="341" t="s">
        <v>541</v>
      </c>
      <c r="X209" s="341" t="s">
        <v>542</v>
      </c>
      <c r="Y209" s="341" t="s">
        <v>490</v>
      </c>
      <c r="Z209" s="293" t="s">
        <v>542</v>
      </c>
      <c r="AA209" s="293" t="s">
        <v>543</v>
      </c>
      <c r="AB209" s="341" t="s">
        <v>439</v>
      </c>
      <c r="AC209" s="341">
        <v>6</v>
      </c>
      <c r="AD209" s="341" t="s">
        <v>440</v>
      </c>
      <c r="AE209" s="301">
        <v>2</v>
      </c>
      <c r="AF209" s="349" t="s">
        <v>455</v>
      </c>
    </row>
    <row r="210" spans="8:32">
      <c r="H210" s="340" t="s">
        <v>159</v>
      </c>
      <c r="I210" s="341" t="s">
        <v>451</v>
      </c>
      <c r="J210" s="341" t="s">
        <v>456</v>
      </c>
      <c r="K210" s="341" t="s">
        <v>453</v>
      </c>
      <c r="L210" s="341" t="s">
        <v>454</v>
      </c>
      <c r="M210" s="341" t="s">
        <v>445</v>
      </c>
      <c r="N210" s="341">
        <v>0.15</v>
      </c>
      <c r="O210" s="341" t="s">
        <v>443</v>
      </c>
      <c r="P210" s="341">
        <v>20</v>
      </c>
      <c r="Q210" s="341" t="s">
        <v>435</v>
      </c>
      <c r="R210" s="341">
        <v>20</v>
      </c>
      <c r="S210" s="341">
        <v>1</v>
      </c>
      <c r="T210" s="341" t="s">
        <v>438</v>
      </c>
      <c r="U210" s="341">
        <v>1</v>
      </c>
      <c r="V210" s="341" t="s">
        <v>540</v>
      </c>
      <c r="W210" s="341" t="s">
        <v>541</v>
      </c>
      <c r="X210" s="341" t="s">
        <v>542</v>
      </c>
      <c r="Y210" s="341" t="s">
        <v>490</v>
      </c>
      <c r="Z210" s="293" t="s">
        <v>542</v>
      </c>
      <c r="AA210" s="293" t="s">
        <v>543</v>
      </c>
      <c r="AB210" s="341" t="s">
        <v>439</v>
      </c>
      <c r="AC210" s="341">
        <v>6</v>
      </c>
      <c r="AD210" s="341" t="s">
        <v>440</v>
      </c>
      <c r="AE210" s="301">
        <v>2</v>
      </c>
      <c r="AF210" s="349" t="s">
        <v>455</v>
      </c>
    </row>
    <row r="211" spans="8:32">
      <c r="H211" s="344" t="s">
        <v>297</v>
      </c>
      <c r="I211" s="341" t="s">
        <v>451</v>
      </c>
      <c r="J211" s="341" t="s">
        <v>456</v>
      </c>
      <c r="K211" s="341" t="s">
        <v>453</v>
      </c>
      <c r="L211" s="341" t="s">
        <v>454</v>
      </c>
      <c r="M211" s="341" t="s">
        <v>445</v>
      </c>
      <c r="N211" s="341">
        <v>0.15</v>
      </c>
      <c r="O211" s="341" t="s">
        <v>443</v>
      </c>
      <c r="P211" s="341">
        <v>20</v>
      </c>
      <c r="Q211" s="341" t="s">
        <v>435</v>
      </c>
      <c r="R211" s="341">
        <v>20</v>
      </c>
      <c r="S211" s="341">
        <v>1</v>
      </c>
      <c r="T211" s="341" t="s">
        <v>440</v>
      </c>
      <c r="U211" s="341">
        <v>1</v>
      </c>
      <c r="V211" s="341" t="s">
        <v>478</v>
      </c>
      <c r="W211" s="341" t="s">
        <v>488</v>
      </c>
      <c r="X211" s="293" t="s">
        <v>491</v>
      </c>
      <c r="Y211" s="293" t="s">
        <v>490</v>
      </c>
      <c r="Z211" s="293">
        <v>5</v>
      </c>
      <c r="AA211" s="293" t="s">
        <v>489</v>
      </c>
      <c r="AB211" s="341" t="s">
        <v>439</v>
      </c>
      <c r="AC211" s="341">
        <v>3</v>
      </c>
      <c r="AD211" s="341" t="s">
        <v>440</v>
      </c>
      <c r="AE211" s="301">
        <v>2</v>
      </c>
      <c r="AF211" s="349" t="s">
        <v>455</v>
      </c>
    </row>
    <row r="212" spans="8:32">
      <c r="H212" s="344" t="s">
        <v>296</v>
      </c>
      <c r="I212" s="341" t="s">
        <v>451</v>
      </c>
      <c r="J212" s="341" t="s">
        <v>456</v>
      </c>
      <c r="K212" s="341" t="s">
        <v>453</v>
      </c>
      <c r="L212" s="341" t="s">
        <v>454</v>
      </c>
      <c r="M212" s="341" t="s">
        <v>445</v>
      </c>
      <c r="N212" s="341">
        <v>0.15</v>
      </c>
      <c r="O212" s="341" t="s">
        <v>443</v>
      </c>
      <c r="P212" s="341">
        <v>20</v>
      </c>
      <c r="Q212" s="341" t="s">
        <v>435</v>
      </c>
      <c r="R212" s="341">
        <v>20</v>
      </c>
      <c r="S212" s="341">
        <v>1</v>
      </c>
      <c r="T212" s="341" t="s">
        <v>440</v>
      </c>
      <c r="U212" s="341">
        <v>1</v>
      </c>
      <c r="V212" s="341" t="s">
        <v>478</v>
      </c>
      <c r="W212" s="341" t="s">
        <v>488</v>
      </c>
      <c r="X212" s="293" t="s">
        <v>491</v>
      </c>
      <c r="Y212" s="293" t="s">
        <v>490</v>
      </c>
      <c r="Z212" s="293">
        <v>5</v>
      </c>
      <c r="AA212" s="293" t="s">
        <v>489</v>
      </c>
      <c r="AB212" s="341" t="s">
        <v>439</v>
      </c>
      <c r="AC212" s="341">
        <v>3</v>
      </c>
      <c r="AD212" s="341" t="s">
        <v>440</v>
      </c>
      <c r="AE212" s="301">
        <v>2</v>
      </c>
      <c r="AF212" s="349" t="s">
        <v>455</v>
      </c>
    </row>
    <row r="213" spans="8:32">
      <c r="H213" s="344" t="s">
        <v>295</v>
      </c>
      <c r="I213" s="341" t="s">
        <v>451</v>
      </c>
      <c r="J213" s="341" t="s">
        <v>456</v>
      </c>
      <c r="K213" s="341" t="s">
        <v>453</v>
      </c>
      <c r="L213" s="341" t="s">
        <v>454</v>
      </c>
      <c r="M213" s="341" t="s">
        <v>445</v>
      </c>
      <c r="N213" s="341">
        <v>0.15</v>
      </c>
      <c r="O213" s="341" t="s">
        <v>443</v>
      </c>
      <c r="P213" s="341">
        <v>20</v>
      </c>
      <c r="Q213" s="341" t="s">
        <v>435</v>
      </c>
      <c r="R213" s="341">
        <v>20</v>
      </c>
      <c r="S213" s="341">
        <v>1</v>
      </c>
      <c r="T213" s="341" t="s">
        <v>440</v>
      </c>
      <c r="U213" s="341">
        <v>1</v>
      </c>
      <c r="V213" s="341" t="s">
        <v>478</v>
      </c>
      <c r="W213" s="341" t="s">
        <v>488</v>
      </c>
      <c r="X213" s="293" t="s">
        <v>491</v>
      </c>
      <c r="Y213" s="293" t="s">
        <v>490</v>
      </c>
      <c r="Z213" s="293">
        <v>5</v>
      </c>
      <c r="AA213" s="293" t="s">
        <v>489</v>
      </c>
      <c r="AB213" s="341" t="s">
        <v>439</v>
      </c>
      <c r="AC213" s="341">
        <v>3</v>
      </c>
      <c r="AD213" s="341" t="s">
        <v>440</v>
      </c>
      <c r="AE213" s="301">
        <v>2</v>
      </c>
      <c r="AF213" s="349" t="s">
        <v>455</v>
      </c>
    </row>
    <row r="214" spans="8:32">
      <c r="H214" s="344" t="s">
        <v>294</v>
      </c>
      <c r="I214" s="341" t="s">
        <v>451</v>
      </c>
      <c r="J214" s="341" t="s">
        <v>456</v>
      </c>
      <c r="K214" s="341" t="s">
        <v>453</v>
      </c>
      <c r="L214" s="341" t="s">
        <v>454</v>
      </c>
      <c r="M214" s="341" t="s">
        <v>445</v>
      </c>
      <c r="N214" s="341">
        <v>0.15</v>
      </c>
      <c r="O214" s="341" t="s">
        <v>443</v>
      </c>
      <c r="P214" s="341">
        <v>20</v>
      </c>
      <c r="Q214" s="341" t="s">
        <v>435</v>
      </c>
      <c r="R214" s="341">
        <v>20</v>
      </c>
      <c r="S214" s="341">
        <v>1</v>
      </c>
      <c r="T214" s="341" t="s">
        <v>440</v>
      </c>
      <c r="U214" s="341">
        <v>1</v>
      </c>
      <c r="V214" s="341" t="s">
        <v>478</v>
      </c>
      <c r="W214" s="341" t="s">
        <v>488</v>
      </c>
      <c r="X214" s="293" t="s">
        <v>491</v>
      </c>
      <c r="Y214" s="293" t="s">
        <v>490</v>
      </c>
      <c r="Z214" s="293">
        <v>5</v>
      </c>
      <c r="AA214" s="293" t="s">
        <v>489</v>
      </c>
      <c r="AB214" s="341" t="s">
        <v>439</v>
      </c>
      <c r="AC214" s="341">
        <v>3</v>
      </c>
      <c r="AD214" s="341" t="s">
        <v>440</v>
      </c>
      <c r="AE214" s="301">
        <v>2</v>
      </c>
      <c r="AF214" s="349" t="s">
        <v>455</v>
      </c>
    </row>
    <row r="215" spans="8:32">
      <c r="H215" s="344" t="s">
        <v>293</v>
      </c>
      <c r="I215" s="341" t="s">
        <v>451</v>
      </c>
      <c r="J215" s="341" t="s">
        <v>456</v>
      </c>
      <c r="K215" s="341" t="s">
        <v>453</v>
      </c>
      <c r="L215" s="341" t="s">
        <v>454</v>
      </c>
      <c r="M215" s="341" t="s">
        <v>445</v>
      </c>
      <c r="N215" s="341">
        <v>0.15</v>
      </c>
      <c r="O215" s="341" t="s">
        <v>443</v>
      </c>
      <c r="P215" s="341">
        <v>20</v>
      </c>
      <c r="Q215" s="341" t="s">
        <v>435</v>
      </c>
      <c r="R215" s="341">
        <v>20</v>
      </c>
      <c r="S215" s="341">
        <v>1</v>
      </c>
      <c r="T215" s="341" t="s">
        <v>438</v>
      </c>
      <c r="U215" s="341">
        <v>1</v>
      </c>
      <c r="V215" s="341" t="s">
        <v>540</v>
      </c>
      <c r="W215" s="341" t="s">
        <v>541</v>
      </c>
      <c r="X215" s="341" t="s">
        <v>542</v>
      </c>
      <c r="Y215" s="341" t="s">
        <v>490</v>
      </c>
      <c r="Z215" s="293" t="s">
        <v>542</v>
      </c>
      <c r="AA215" s="293" t="s">
        <v>543</v>
      </c>
      <c r="AB215" s="341" t="s">
        <v>439</v>
      </c>
      <c r="AC215" s="341">
        <v>6</v>
      </c>
      <c r="AD215" s="341" t="s">
        <v>440</v>
      </c>
      <c r="AE215" s="301">
        <v>2</v>
      </c>
      <c r="AF215" s="349" t="s">
        <v>455</v>
      </c>
    </row>
    <row r="216" spans="8:32">
      <c r="H216" s="344" t="s">
        <v>292</v>
      </c>
      <c r="I216" s="341" t="s">
        <v>451</v>
      </c>
      <c r="J216" s="341" t="s">
        <v>456</v>
      </c>
      <c r="K216" s="341" t="s">
        <v>453</v>
      </c>
      <c r="L216" s="341" t="s">
        <v>454</v>
      </c>
      <c r="M216" s="341" t="s">
        <v>445</v>
      </c>
      <c r="N216" s="341">
        <v>0.15</v>
      </c>
      <c r="O216" s="341" t="s">
        <v>443</v>
      </c>
      <c r="P216" s="341">
        <v>20</v>
      </c>
      <c r="Q216" s="341" t="s">
        <v>435</v>
      </c>
      <c r="R216" s="341">
        <v>20</v>
      </c>
      <c r="S216" s="341">
        <v>1</v>
      </c>
      <c r="T216" s="341" t="s">
        <v>438</v>
      </c>
      <c r="U216" s="341">
        <v>1</v>
      </c>
      <c r="V216" s="341" t="s">
        <v>540</v>
      </c>
      <c r="W216" s="341" t="s">
        <v>541</v>
      </c>
      <c r="X216" s="341" t="s">
        <v>542</v>
      </c>
      <c r="Y216" s="341" t="s">
        <v>490</v>
      </c>
      <c r="Z216" s="293" t="s">
        <v>542</v>
      </c>
      <c r="AA216" s="293" t="s">
        <v>543</v>
      </c>
      <c r="AB216" s="341" t="s">
        <v>439</v>
      </c>
      <c r="AC216" s="341">
        <v>6</v>
      </c>
      <c r="AD216" s="341" t="s">
        <v>440</v>
      </c>
      <c r="AE216" s="301">
        <v>2</v>
      </c>
      <c r="AF216" s="349" t="s">
        <v>455</v>
      </c>
    </row>
    <row r="217" spans="8:32">
      <c r="H217" s="344" t="s">
        <v>291</v>
      </c>
      <c r="I217" s="341" t="s">
        <v>451</v>
      </c>
      <c r="J217" s="341" t="s">
        <v>456</v>
      </c>
      <c r="K217" s="341" t="s">
        <v>453</v>
      </c>
      <c r="L217" s="341" t="s">
        <v>454</v>
      </c>
      <c r="M217" s="341" t="s">
        <v>445</v>
      </c>
      <c r="N217" s="341">
        <v>0.15</v>
      </c>
      <c r="O217" s="341" t="s">
        <v>443</v>
      </c>
      <c r="P217" s="341">
        <v>20</v>
      </c>
      <c r="Q217" s="341" t="s">
        <v>435</v>
      </c>
      <c r="R217" s="341">
        <v>20</v>
      </c>
      <c r="S217" s="341">
        <v>1</v>
      </c>
      <c r="T217" s="341" t="s">
        <v>438</v>
      </c>
      <c r="U217" s="341">
        <v>1</v>
      </c>
      <c r="V217" s="341" t="s">
        <v>540</v>
      </c>
      <c r="W217" s="341" t="s">
        <v>541</v>
      </c>
      <c r="X217" s="341" t="s">
        <v>542</v>
      </c>
      <c r="Y217" s="341" t="s">
        <v>490</v>
      </c>
      <c r="Z217" s="293" t="s">
        <v>542</v>
      </c>
      <c r="AA217" s="293" t="s">
        <v>543</v>
      </c>
      <c r="AB217" s="341" t="s">
        <v>439</v>
      </c>
      <c r="AC217" s="341">
        <v>6</v>
      </c>
      <c r="AD217" s="341" t="s">
        <v>440</v>
      </c>
      <c r="AE217" s="301">
        <v>2</v>
      </c>
      <c r="AF217" s="349" t="s">
        <v>455</v>
      </c>
    </row>
    <row r="218" spans="8:32">
      <c r="H218" s="344" t="s">
        <v>290</v>
      </c>
      <c r="I218" s="341" t="s">
        <v>451</v>
      </c>
      <c r="J218" s="341" t="s">
        <v>456</v>
      </c>
      <c r="K218" s="341" t="s">
        <v>453</v>
      </c>
      <c r="L218" s="341" t="s">
        <v>454</v>
      </c>
      <c r="M218" s="341" t="s">
        <v>445</v>
      </c>
      <c r="N218" s="341">
        <v>0.15</v>
      </c>
      <c r="O218" s="341" t="s">
        <v>443</v>
      </c>
      <c r="P218" s="341">
        <v>20</v>
      </c>
      <c r="Q218" s="341" t="s">
        <v>435</v>
      </c>
      <c r="R218" s="341">
        <v>20</v>
      </c>
      <c r="S218" s="341">
        <v>1</v>
      </c>
      <c r="T218" s="341" t="s">
        <v>438</v>
      </c>
      <c r="U218" s="341">
        <v>1</v>
      </c>
      <c r="V218" s="341" t="s">
        <v>540</v>
      </c>
      <c r="W218" s="341" t="s">
        <v>541</v>
      </c>
      <c r="X218" s="341" t="s">
        <v>542</v>
      </c>
      <c r="Y218" s="341" t="s">
        <v>490</v>
      </c>
      <c r="Z218" s="293" t="s">
        <v>542</v>
      </c>
      <c r="AA218" s="293" t="s">
        <v>543</v>
      </c>
      <c r="AB218" s="341" t="s">
        <v>439</v>
      </c>
      <c r="AC218" s="341">
        <v>6</v>
      </c>
      <c r="AD218" s="341" t="s">
        <v>440</v>
      </c>
      <c r="AE218" s="301">
        <v>2</v>
      </c>
      <c r="AF218" s="349" t="s">
        <v>455</v>
      </c>
    </row>
    <row r="219" spans="8:32">
      <c r="H219" s="344" t="s">
        <v>289</v>
      </c>
      <c r="I219" s="341" t="s">
        <v>451</v>
      </c>
      <c r="J219" s="341" t="s">
        <v>456</v>
      </c>
      <c r="K219" s="341" t="s">
        <v>453</v>
      </c>
      <c r="L219" s="341" t="s">
        <v>454</v>
      </c>
      <c r="M219" s="341" t="s">
        <v>445</v>
      </c>
      <c r="N219" s="341">
        <v>0.15</v>
      </c>
      <c r="O219" s="341" t="s">
        <v>443</v>
      </c>
      <c r="P219" s="341">
        <v>20</v>
      </c>
      <c r="Q219" s="341" t="s">
        <v>435</v>
      </c>
      <c r="R219" s="341">
        <v>20</v>
      </c>
      <c r="S219" s="341">
        <v>1</v>
      </c>
      <c r="T219" s="341" t="s">
        <v>438</v>
      </c>
      <c r="U219" s="341">
        <v>1</v>
      </c>
      <c r="V219" s="341" t="s">
        <v>540</v>
      </c>
      <c r="W219" s="341" t="s">
        <v>541</v>
      </c>
      <c r="X219" s="341" t="s">
        <v>542</v>
      </c>
      <c r="Y219" s="341" t="s">
        <v>490</v>
      </c>
      <c r="Z219" s="293" t="s">
        <v>542</v>
      </c>
      <c r="AA219" s="293" t="s">
        <v>543</v>
      </c>
      <c r="AB219" s="341" t="s">
        <v>439</v>
      </c>
      <c r="AC219" s="341">
        <v>6</v>
      </c>
      <c r="AD219" s="341" t="s">
        <v>440</v>
      </c>
      <c r="AE219" s="301">
        <v>2</v>
      </c>
      <c r="AF219" s="349" t="s">
        <v>455</v>
      </c>
    </row>
    <row r="220" spans="8:32">
      <c r="H220" s="344" t="s">
        <v>288</v>
      </c>
      <c r="I220" s="341" t="s">
        <v>451</v>
      </c>
      <c r="J220" s="341" t="s">
        <v>456</v>
      </c>
      <c r="K220" s="341" t="s">
        <v>453</v>
      </c>
      <c r="L220" s="341" t="s">
        <v>454</v>
      </c>
      <c r="M220" s="341" t="s">
        <v>445</v>
      </c>
      <c r="N220" s="341">
        <v>0.15</v>
      </c>
      <c r="O220" s="341" t="s">
        <v>443</v>
      </c>
      <c r="P220" s="341">
        <v>20</v>
      </c>
      <c r="Q220" s="341" t="s">
        <v>435</v>
      </c>
      <c r="R220" s="341">
        <v>20</v>
      </c>
      <c r="S220" s="341">
        <v>1</v>
      </c>
      <c r="T220" s="341" t="s">
        <v>438</v>
      </c>
      <c r="U220" s="341">
        <v>1</v>
      </c>
      <c r="V220" s="341" t="s">
        <v>540</v>
      </c>
      <c r="W220" s="341" t="s">
        <v>541</v>
      </c>
      <c r="X220" s="341" t="s">
        <v>542</v>
      </c>
      <c r="Y220" s="341" t="s">
        <v>490</v>
      </c>
      <c r="Z220" s="293" t="s">
        <v>542</v>
      </c>
      <c r="AA220" s="293" t="s">
        <v>543</v>
      </c>
      <c r="AB220" s="341" t="s">
        <v>439</v>
      </c>
      <c r="AC220" s="341">
        <v>6</v>
      </c>
      <c r="AD220" s="341" t="s">
        <v>440</v>
      </c>
      <c r="AE220" s="301">
        <v>2</v>
      </c>
      <c r="AF220" s="349" t="s">
        <v>455</v>
      </c>
    </row>
    <row r="221" spans="8:32">
      <c r="H221" s="344" t="s">
        <v>287</v>
      </c>
      <c r="I221" s="341" t="s">
        <v>451</v>
      </c>
      <c r="J221" s="341" t="s">
        <v>456</v>
      </c>
      <c r="K221" s="341" t="s">
        <v>453</v>
      </c>
      <c r="L221" s="341" t="s">
        <v>454</v>
      </c>
      <c r="M221" s="341" t="s">
        <v>445</v>
      </c>
      <c r="N221" s="341">
        <v>0.15</v>
      </c>
      <c r="O221" s="341" t="s">
        <v>443</v>
      </c>
      <c r="P221" s="341">
        <v>20</v>
      </c>
      <c r="Q221" s="341" t="s">
        <v>435</v>
      </c>
      <c r="R221" s="341">
        <v>20</v>
      </c>
      <c r="S221" s="341">
        <v>1</v>
      </c>
      <c r="T221" s="341" t="s">
        <v>440</v>
      </c>
      <c r="U221" s="341">
        <v>1</v>
      </c>
      <c r="V221" s="341" t="s">
        <v>478</v>
      </c>
      <c r="W221" s="341" t="s">
        <v>488</v>
      </c>
      <c r="X221" s="293" t="s">
        <v>491</v>
      </c>
      <c r="Y221" s="293" t="s">
        <v>490</v>
      </c>
      <c r="Z221" s="293">
        <v>5</v>
      </c>
      <c r="AA221" s="293" t="s">
        <v>489</v>
      </c>
      <c r="AB221" s="341" t="s">
        <v>439</v>
      </c>
      <c r="AC221" s="341">
        <v>3</v>
      </c>
      <c r="AD221" s="341" t="s">
        <v>440</v>
      </c>
      <c r="AE221" s="301">
        <v>2</v>
      </c>
      <c r="AF221" s="349" t="s">
        <v>455</v>
      </c>
    </row>
    <row r="222" spans="8:32">
      <c r="H222" s="344" t="s">
        <v>286</v>
      </c>
      <c r="I222" s="341" t="s">
        <v>451</v>
      </c>
      <c r="J222" s="341" t="s">
        <v>456</v>
      </c>
      <c r="K222" s="341" t="s">
        <v>453</v>
      </c>
      <c r="L222" s="341" t="s">
        <v>454</v>
      </c>
      <c r="M222" s="341" t="s">
        <v>445</v>
      </c>
      <c r="N222" s="341">
        <v>0.15</v>
      </c>
      <c r="O222" s="341" t="s">
        <v>443</v>
      </c>
      <c r="P222" s="341">
        <v>20</v>
      </c>
      <c r="Q222" s="341" t="s">
        <v>435</v>
      </c>
      <c r="R222" s="341">
        <v>20</v>
      </c>
      <c r="S222" s="341">
        <v>1</v>
      </c>
      <c r="T222" s="341" t="s">
        <v>440</v>
      </c>
      <c r="U222" s="341">
        <v>1</v>
      </c>
      <c r="V222" s="341" t="s">
        <v>478</v>
      </c>
      <c r="W222" s="341" t="s">
        <v>488</v>
      </c>
      <c r="X222" s="293" t="s">
        <v>491</v>
      </c>
      <c r="Y222" s="293" t="s">
        <v>490</v>
      </c>
      <c r="Z222" s="293">
        <v>5</v>
      </c>
      <c r="AA222" s="293" t="s">
        <v>489</v>
      </c>
      <c r="AB222" s="341" t="s">
        <v>439</v>
      </c>
      <c r="AC222" s="341">
        <v>3</v>
      </c>
      <c r="AD222" s="341" t="s">
        <v>440</v>
      </c>
      <c r="AE222" s="301">
        <v>2</v>
      </c>
      <c r="AF222" s="349" t="s">
        <v>455</v>
      </c>
    </row>
    <row r="223" spans="8:32">
      <c r="H223" s="344" t="s">
        <v>285</v>
      </c>
      <c r="I223" s="341" t="s">
        <v>451</v>
      </c>
      <c r="J223" s="341" t="s">
        <v>456</v>
      </c>
      <c r="K223" s="341" t="s">
        <v>453</v>
      </c>
      <c r="L223" s="341" t="s">
        <v>454</v>
      </c>
      <c r="M223" s="341" t="s">
        <v>445</v>
      </c>
      <c r="N223" s="341">
        <v>0.15</v>
      </c>
      <c r="O223" s="341" t="s">
        <v>443</v>
      </c>
      <c r="P223" s="341">
        <v>20</v>
      </c>
      <c r="Q223" s="341" t="s">
        <v>435</v>
      </c>
      <c r="R223" s="341">
        <v>20</v>
      </c>
      <c r="S223" s="341">
        <v>1</v>
      </c>
      <c r="T223" s="341" t="s">
        <v>440</v>
      </c>
      <c r="U223" s="341">
        <v>1</v>
      </c>
      <c r="V223" s="341" t="s">
        <v>478</v>
      </c>
      <c r="W223" s="341" t="s">
        <v>488</v>
      </c>
      <c r="X223" s="293" t="s">
        <v>491</v>
      </c>
      <c r="Y223" s="293" t="s">
        <v>490</v>
      </c>
      <c r="Z223" s="293">
        <v>5</v>
      </c>
      <c r="AA223" s="293" t="s">
        <v>489</v>
      </c>
      <c r="AB223" s="341" t="s">
        <v>439</v>
      </c>
      <c r="AC223" s="341">
        <v>3</v>
      </c>
      <c r="AD223" s="341" t="s">
        <v>440</v>
      </c>
      <c r="AE223" s="301">
        <v>2</v>
      </c>
      <c r="AF223" s="349" t="s">
        <v>455</v>
      </c>
    </row>
    <row r="224" spans="8:32">
      <c r="H224" s="344" t="s">
        <v>284</v>
      </c>
      <c r="I224" s="341" t="s">
        <v>451</v>
      </c>
      <c r="J224" s="341" t="s">
        <v>456</v>
      </c>
      <c r="K224" s="341" t="s">
        <v>453</v>
      </c>
      <c r="L224" s="341" t="s">
        <v>454</v>
      </c>
      <c r="M224" s="341" t="s">
        <v>445</v>
      </c>
      <c r="N224" s="341">
        <v>0.15</v>
      </c>
      <c r="O224" s="341" t="s">
        <v>443</v>
      </c>
      <c r="P224" s="341">
        <v>20</v>
      </c>
      <c r="Q224" s="341" t="s">
        <v>435</v>
      </c>
      <c r="R224" s="341">
        <v>20</v>
      </c>
      <c r="S224" s="341">
        <v>1</v>
      </c>
      <c r="T224" s="341" t="s">
        <v>440</v>
      </c>
      <c r="U224" s="341">
        <v>1</v>
      </c>
      <c r="V224" s="341" t="s">
        <v>478</v>
      </c>
      <c r="W224" s="341" t="s">
        <v>488</v>
      </c>
      <c r="X224" s="293" t="s">
        <v>491</v>
      </c>
      <c r="Y224" s="293" t="s">
        <v>490</v>
      </c>
      <c r="Z224" s="293">
        <v>5</v>
      </c>
      <c r="AA224" s="293" t="s">
        <v>489</v>
      </c>
      <c r="AB224" s="341" t="s">
        <v>439</v>
      </c>
      <c r="AC224" s="341">
        <v>3</v>
      </c>
      <c r="AD224" s="341" t="s">
        <v>440</v>
      </c>
      <c r="AE224" s="301">
        <v>2</v>
      </c>
      <c r="AF224" s="349" t="s">
        <v>455</v>
      </c>
    </row>
    <row r="225" spans="8:32">
      <c r="H225" s="344" t="s">
        <v>283</v>
      </c>
      <c r="I225" s="341" t="s">
        <v>451</v>
      </c>
      <c r="J225" s="341" t="s">
        <v>456</v>
      </c>
      <c r="K225" s="341" t="s">
        <v>453</v>
      </c>
      <c r="L225" s="341" t="s">
        <v>454</v>
      </c>
      <c r="M225" s="341" t="s">
        <v>445</v>
      </c>
      <c r="N225" s="341">
        <v>0.15</v>
      </c>
      <c r="O225" s="341" t="s">
        <v>443</v>
      </c>
      <c r="P225" s="341">
        <v>20</v>
      </c>
      <c r="Q225" s="341" t="s">
        <v>435</v>
      </c>
      <c r="R225" s="341">
        <v>20</v>
      </c>
      <c r="S225" s="341">
        <v>1</v>
      </c>
      <c r="T225" s="341" t="s">
        <v>438</v>
      </c>
      <c r="U225" s="341">
        <v>1</v>
      </c>
      <c r="V225" s="341" t="s">
        <v>540</v>
      </c>
      <c r="W225" s="341" t="s">
        <v>541</v>
      </c>
      <c r="X225" s="341" t="s">
        <v>542</v>
      </c>
      <c r="Y225" s="341" t="s">
        <v>490</v>
      </c>
      <c r="Z225" s="293" t="s">
        <v>542</v>
      </c>
      <c r="AA225" s="293" t="s">
        <v>543</v>
      </c>
      <c r="AB225" s="341" t="s">
        <v>439</v>
      </c>
      <c r="AC225" s="341">
        <v>6</v>
      </c>
      <c r="AD225" s="341" t="s">
        <v>440</v>
      </c>
      <c r="AE225" s="301">
        <v>2</v>
      </c>
      <c r="AF225" s="349" t="s">
        <v>455</v>
      </c>
    </row>
    <row r="226" spans="8:32">
      <c r="H226" s="344" t="s">
        <v>282</v>
      </c>
      <c r="I226" s="341" t="s">
        <v>451</v>
      </c>
      <c r="J226" s="341" t="s">
        <v>456</v>
      </c>
      <c r="K226" s="341" t="s">
        <v>453</v>
      </c>
      <c r="L226" s="341" t="s">
        <v>454</v>
      </c>
      <c r="M226" s="341" t="s">
        <v>445</v>
      </c>
      <c r="N226" s="341">
        <v>0.15</v>
      </c>
      <c r="O226" s="341" t="s">
        <v>443</v>
      </c>
      <c r="P226" s="341">
        <v>20</v>
      </c>
      <c r="Q226" s="341" t="s">
        <v>435</v>
      </c>
      <c r="R226" s="341">
        <v>20</v>
      </c>
      <c r="S226" s="341">
        <v>1</v>
      </c>
      <c r="T226" s="341" t="s">
        <v>438</v>
      </c>
      <c r="U226" s="341">
        <v>1</v>
      </c>
      <c r="V226" s="341" t="s">
        <v>540</v>
      </c>
      <c r="W226" s="341" t="s">
        <v>541</v>
      </c>
      <c r="X226" s="341" t="s">
        <v>542</v>
      </c>
      <c r="Y226" s="341" t="s">
        <v>490</v>
      </c>
      <c r="Z226" s="293" t="s">
        <v>542</v>
      </c>
      <c r="AA226" s="293" t="s">
        <v>543</v>
      </c>
      <c r="AB226" s="341" t="s">
        <v>439</v>
      </c>
      <c r="AC226" s="341">
        <v>6</v>
      </c>
      <c r="AD226" s="341" t="s">
        <v>440</v>
      </c>
      <c r="AE226" s="301">
        <v>2</v>
      </c>
      <c r="AF226" s="349" t="s">
        <v>455</v>
      </c>
    </row>
    <row r="227" spans="8:32">
      <c r="H227" s="344" t="s">
        <v>281</v>
      </c>
      <c r="I227" s="341" t="s">
        <v>451</v>
      </c>
      <c r="J227" s="341" t="s">
        <v>456</v>
      </c>
      <c r="K227" s="341" t="s">
        <v>453</v>
      </c>
      <c r="L227" s="341" t="s">
        <v>454</v>
      </c>
      <c r="M227" s="341" t="s">
        <v>445</v>
      </c>
      <c r="N227" s="341">
        <v>0.15</v>
      </c>
      <c r="O227" s="341" t="s">
        <v>443</v>
      </c>
      <c r="P227" s="341">
        <v>20</v>
      </c>
      <c r="Q227" s="341" t="s">
        <v>435</v>
      </c>
      <c r="R227" s="341">
        <v>20</v>
      </c>
      <c r="S227" s="341">
        <v>1</v>
      </c>
      <c r="T227" s="341" t="s">
        <v>438</v>
      </c>
      <c r="U227" s="341">
        <v>1</v>
      </c>
      <c r="V227" s="341" t="s">
        <v>540</v>
      </c>
      <c r="W227" s="341" t="s">
        <v>541</v>
      </c>
      <c r="X227" s="341" t="s">
        <v>542</v>
      </c>
      <c r="Y227" s="341" t="s">
        <v>490</v>
      </c>
      <c r="Z227" s="293" t="s">
        <v>542</v>
      </c>
      <c r="AA227" s="293" t="s">
        <v>543</v>
      </c>
      <c r="AB227" s="341" t="s">
        <v>439</v>
      </c>
      <c r="AC227" s="341">
        <v>6</v>
      </c>
      <c r="AD227" s="341" t="s">
        <v>440</v>
      </c>
      <c r="AE227" s="301">
        <v>2</v>
      </c>
      <c r="AF227" s="349" t="s">
        <v>455</v>
      </c>
    </row>
    <row r="228" spans="8:32">
      <c r="H228" s="344" t="s">
        <v>280</v>
      </c>
      <c r="I228" s="341" t="s">
        <v>451</v>
      </c>
      <c r="J228" s="341" t="s">
        <v>456</v>
      </c>
      <c r="K228" s="341" t="s">
        <v>453</v>
      </c>
      <c r="L228" s="341" t="s">
        <v>454</v>
      </c>
      <c r="M228" s="341" t="s">
        <v>445</v>
      </c>
      <c r="N228" s="341">
        <v>0.15</v>
      </c>
      <c r="O228" s="341" t="s">
        <v>443</v>
      </c>
      <c r="P228" s="341">
        <v>20</v>
      </c>
      <c r="Q228" s="341" t="s">
        <v>435</v>
      </c>
      <c r="R228" s="341">
        <v>20</v>
      </c>
      <c r="S228" s="341">
        <v>1</v>
      </c>
      <c r="T228" s="341" t="s">
        <v>438</v>
      </c>
      <c r="U228" s="341">
        <v>1</v>
      </c>
      <c r="V228" s="341" t="s">
        <v>540</v>
      </c>
      <c r="W228" s="341" t="s">
        <v>541</v>
      </c>
      <c r="X228" s="341" t="s">
        <v>542</v>
      </c>
      <c r="Y228" s="341" t="s">
        <v>490</v>
      </c>
      <c r="Z228" s="293" t="s">
        <v>542</v>
      </c>
      <c r="AA228" s="293" t="s">
        <v>543</v>
      </c>
      <c r="AB228" s="341" t="s">
        <v>439</v>
      </c>
      <c r="AC228" s="341">
        <v>6</v>
      </c>
      <c r="AD228" s="341" t="s">
        <v>440</v>
      </c>
      <c r="AE228" s="301">
        <v>2</v>
      </c>
      <c r="AF228" s="349" t="s">
        <v>455</v>
      </c>
    </row>
    <row r="229" spans="8:32">
      <c r="H229" s="344" t="s">
        <v>279</v>
      </c>
      <c r="I229" s="341" t="s">
        <v>451</v>
      </c>
      <c r="J229" s="341" t="s">
        <v>456</v>
      </c>
      <c r="K229" s="341" t="s">
        <v>453</v>
      </c>
      <c r="L229" s="341" t="s">
        <v>454</v>
      </c>
      <c r="M229" s="341" t="s">
        <v>445</v>
      </c>
      <c r="N229" s="341">
        <v>0.15</v>
      </c>
      <c r="O229" s="341" t="s">
        <v>443</v>
      </c>
      <c r="P229" s="341">
        <v>20</v>
      </c>
      <c r="Q229" s="341" t="s">
        <v>435</v>
      </c>
      <c r="R229" s="341">
        <v>20</v>
      </c>
      <c r="S229" s="341">
        <v>1</v>
      </c>
      <c r="T229" s="341" t="s">
        <v>438</v>
      </c>
      <c r="U229" s="341">
        <v>1</v>
      </c>
      <c r="V229" s="341" t="s">
        <v>540</v>
      </c>
      <c r="W229" s="341" t="s">
        <v>541</v>
      </c>
      <c r="X229" s="341" t="s">
        <v>542</v>
      </c>
      <c r="Y229" s="341" t="s">
        <v>490</v>
      </c>
      <c r="Z229" s="293" t="s">
        <v>542</v>
      </c>
      <c r="AA229" s="293" t="s">
        <v>543</v>
      </c>
      <c r="AB229" s="341" t="s">
        <v>439</v>
      </c>
      <c r="AC229" s="341">
        <v>6</v>
      </c>
      <c r="AD229" s="341" t="s">
        <v>440</v>
      </c>
      <c r="AE229" s="301">
        <v>2</v>
      </c>
      <c r="AF229" s="349" t="s">
        <v>455</v>
      </c>
    </row>
    <row r="230" spans="8:32">
      <c r="H230" s="344" t="s">
        <v>278</v>
      </c>
      <c r="I230" s="341" t="s">
        <v>451</v>
      </c>
      <c r="J230" s="341" t="s">
        <v>456</v>
      </c>
      <c r="K230" s="341" t="s">
        <v>453</v>
      </c>
      <c r="L230" s="341" t="s">
        <v>454</v>
      </c>
      <c r="M230" s="341" t="s">
        <v>445</v>
      </c>
      <c r="N230" s="341">
        <v>0.15</v>
      </c>
      <c r="O230" s="341" t="s">
        <v>443</v>
      </c>
      <c r="P230" s="341">
        <v>20</v>
      </c>
      <c r="Q230" s="341" t="s">
        <v>435</v>
      </c>
      <c r="R230" s="341">
        <v>20</v>
      </c>
      <c r="S230" s="341">
        <v>1</v>
      </c>
      <c r="T230" s="341" t="s">
        <v>438</v>
      </c>
      <c r="U230" s="341">
        <v>1</v>
      </c>
      <c r="V230" s="341" t="s">
        <v>540</v>
      </c>
      <c r="W230" s="341" t="s">
        <v>541</v>
      </c>
      <c r="X230" s="341" t="s">
        <v>542</v>
      </c>
      <c r="Y230" s="341" t="s">
        <v>490</v>
      </c>
      <c r="Z230" s="293" t="s">
        <v>542</v>
      </c>
      <c r="AA230" s="293" t="s">
        <v>543</v>
      </c>
      <c r="AB230" s="341" t="s">
        <v>439</v>
      </c>
      <c r="AC230" s="341">
        <v>6</v>
      </c>
      <c r="AD230" s="341" t="s">
        <v>440</v>
      </c>
      <c r="AE230" s="301">
        <v>2</v>
      </c>
      <c r="AF230" s="349" t="s">
        <v>455</v>
      </c>
    </row>
    <row r="231" spans="8:32">
      <c r="H231" s="340" t="s">
        <v>312</v>
      </c>
      <c r="I231" s="341" t="s">
        <v>451</v>
      </c>
      <c r="J231" s="341" t="s">
        <v>457</v>
      </c>
      <c r="K231" s="341" t="s">
        <v>461</v>
      </c>
      <c r="L231" s="341" t="s">
        <v>458</v>
      </c>
      <c r="M231" s="341" t="s">
        <v>445</v>
      </c>
      <c r="N231" s="341">
        <v>0.15</v>
      </c>
      <c r="O231" s="341" t="s">
        <v>443</v>
      </c>
      <c r="P231" s="341">
        <v>20</v>
      </c>
      <c r="Q231" s="341" t="s">
        <v>435</v>
      </c>
      <c r="R231" s="341">
        <v>20</v>
      </c>
      <c r="S231" s="341">
        <v>1</v>
      </c>
      <c r="T231" s="341" t="s">
        <v>440</v>
      </c>
      <c r="U231" s="341">
        <v>1</v>
      </c>
      <c r="V231" s="341" t="s">
        <v>478</v>
      </c>
      <c r="W231" s="341" t="s">
        <v>488</v>
      </c>
      <c r="X231" s="293" t="s">
        <v>491</v>
      </c>
      <c r="Y231" s="293" t="s">
        <v>490</v>
      </c>
      <c r="Z231" s="293">
        <v>5</v>
      </c>
      <c r="AA231" s="293" t="s">
        <v>489</v>
      </c>
      <c r="AB231" s="341" t="s">
        <v>439</v>
      </c>
      <c r="AC231" s="341">
        <v>2</v>
      </c>
      <c r="AD231" s="341" t="s">
        <v>440</v>
      </c>
      <c r="AE231" s="301">
        <v>2</v>
      </c>
      <c r="AF231" s="349" t="s">
        <v>455</v>
      </c>
    </row>
    <row r="232" spans="8:32">
      <c r="H232" s="340" t="s">
        <v>126</v>
      </c>
      <c r="I232" s="341" t="s">
        <v>451</v>
      </c>
      <c r="J232" s="341" t="s">
        <v>457</v>
      </c>
      <c r="K232" s="341" t="s">
        <v>461</v>
      </c>
      <c r="L232" s="341" t="s">
        <v>458</v>
      </c>
      <c r="M232" s="341" t="s">
        <v>445</v>
      </c>
      <c r="N232" s="341">
        <v>0.15</v>
      </c>
      <c r="O232" s="341" t="s">
        <v>443</v>
      </c>
      <c r="P232" s="341">
        <v>20</v>
      </c>
      <c r="Q232" s="341" t="s">
        <v>435</v>
      </c>
      <c r="R232" s="341">
        <v>20</v>
      </c>
      <c r="S232" s="341">
        <v>1</v>
      </c>
      <c r="T232" s="341" t="s">
        <v>440</v>
      </c>
      <c r="U232" s="341">
        <v>1</v>
      </c>
      <c r="V232" s="341" t="s">
        <v>478</v>
      </c>
      <c r="W232" s="341" t="s">
        <v>488</v>
      </c>
      <c r="X232" s="293" t="s">
        <v>491</v>
      </c>
      <c r="Y232" s="293" t="s">
        <v>490</v>
      </c>
      <c r="Z232" s="293">
        <v>5</v>
      </c>
      <c r="AA232" s="293" t="s">
        <v>489</v>
      </c>
      <c r="AB232" s="341" t="s">
        <v>439</v>
      </c>
      <c r="AC232" s="341">
        <v>2</v>
      </c>
      <c r="AD232" s="341" t="s">
        <v>440</v>
      </c>
      <c r="AE232" s="301">
        <v>2</v>
      </c>
      <c r="AF232" s="349" t="s">
        <v>455</v>
      </c>
    </row>
    <row r="233" spans="8:32">
      <c r="H233" s="340" t="s">
        <v>127</v>
      </c>
      <c r="I233" s="341" t="s">
        <v>451</v>
      </c>
      <c r="J233" s="341" t="s">
        <v>457</v>
      </c>
      <c r="K233" s="341" t="s">
        <v>461</v>
      </c>
      <c r="L233" s="341" t="s">
        <v>458</v>
      </c>
      <c r="M233" s="341" t="s">
        <v>445</v>
      </c>
      <c r="N233" s="341">
        <v>0.15</v>
      </c>
      <c r="O233" s="341" t="s">
        <v>443</v>
      </c>
      <c r="P233" s="341">
        <v>20</v>
      </c>
      <c r="Q233" s="341" t="s">
        <v>435</v>
      </c>
      <c r="R233" s="341">
        <v>20</v>
      </c>
      <c r="S233" s="341">
        <v>1</v>
      </c>
      <c r="T233" s="341" t="s">
        <v>440</v>
      </c>
      <c r="U233" s="341">
        <v>1</v>
      </c>
      <c r="V233" s="341" t="s">
        <v>478</v>
      </c>
      <c r="W233" s="341" t="s">
        <v>488</v>
      </c>
      <c r="X233" s="293" t="s">
        <v>491</v>
      </c>
      <c r="Y233" s="293" t="s">
        <v>490</v>
      </c>
      <c r="Z233" s="293">
        <v>5</v>
      </c>
      <c r="AA233" s="293" t="s">
        <v>489</v>
      </c>
      <c r="AB233" s="341" t="s">
        <v>439</v>
      </c>
      <c r="AC233" s="341">
        <v>2</v>
      </c>
      <c r="AD233" s="341" t="s">
        <v>440</v>
      </c>
      <c r="AE233" s="301">
        <v>2</v>
      </c>
      <c r="AF233" s="349" t="s">
        <v>455</v>
      </c>
    </row>
    <row r="234" spans="8:32">
      <c r="H234" s="340" t="s">
        <v>128</v>
      </c>
      <c r="I234" s="341" t="s">
        <v>451</v>
      </c>
      <c r="J234" s="341" t="s">
        <v>457</v>
      </c>
      <c r="K234" s="341" t="s">
        <v>461</v>
      </c>
      <c r="L234" s="341" t="s">
        <v>458</v>
      </c>
      <c r="M234" s="341" t="s">
        <v>445</v>
      </c>
      <c r="N234" s="341">
        <v>0.15</v>
      </c>
      <c r="O234" s="341" t="s">
        <v>443</v>
      </c>
      <c r="P234" s="341">
        <v>20</v>
      </c>
      <c r="Q234" s="341" t="s">
        <v>435</v>
      </c>
      <c r="R234" s="341">
        <v>20</v>
      </c>
      <c r="S234" s="341">
        <v>1</v>
      </c>
      <c r="T234" s="341" t="s">
        <v>440</v>
      </c>
      <c r="U234" s="341">
        <v>1</v>
      </c>
      <c r="V234" s="341" t="s">
        <v>478</v>
      </c>
      <c r="W234" s="341" t="s">
        <v>488</v>
      </c>
      <c r="X234" s="293" t="s">
        <v>491</v>
      </c>
      <c r="Y234" s="293" t="s">
        <v>490</v>
      </c>
      <c r="Z234" s="293">
        <v>5</v>
      </c>
      <c r="AA234" s="293" t="s">
        <v>489</v>
      </c>
      <c r="AB234" s="341" t="s">
        <v>439</v>
      </c>
      <c r="AC234" s="341">
        <v>2</v>
      </c>
      <c r="AD234" s="341" t="s">
        <v>440</v>
      </c>
      <c r="AE234" s="301">
        <v>2</v>
      </c>
      <c r="AF234" s="349" t="s">
        <v>455</v>
      </c>
    </row>
    <row r="235" spans="8:32">
      <c r="H235" s="340" t="s">
        <v>129</v>
      </c>
      <c r="I235" s="341" t="s">
        <v>451</v>
      </c>
      <c r="J235" s="341" t="s">
        <v>457</v>
      </c>
      <c r="K235" s="341" t="s">
        <v>461</v>
      </c>
      <c r="L235" s="341" t="s">
        <v>458</v>
      </c>
      <c r="M235" s="341" t="s">
        <v>445</v>
      </c>
      <c r="N235" s="341">
        <v>0.15</v>
      </c>
      <c r="O235" s="341" t="s">
        <v>443</v>
      </c>
      <c r="P235" s="341">
        <v>20</v>
      </c>
      <c r="Q235" s="341" t="s">
        <v>435</v>
      </c>
      <c r="R235" s="341">
        <v>20</v>
      </c>
      <c r="S235" s="341">
        <v>1</v>
      </c>
      <c r="T235" s="341" t="s">
        <v>440</v>
      </c>
      <c r="U235" s="341">
        <v>1</v>
      </c>
      <c r="V235" s="341" t="s">
        <v>478</v>
      </c>
      <c r="W235" s="341" t="s">
        <v>488</v>
      </c>
      <c r="X235" s="293" t="s">
        <v>491</v>
      </c>
      <c r="Y235" s="293" t="s">
        <v>490</v>
      </c>
      <c r="Z235" s="293">
        <v>5</v>
      </c>
      <c r="AA235" s="293" t="s">
        <v>489</v>
      </c>
      <c r="AB235" s="341" t="s">
        <v>439</v>
      </c>
      <c r="AC235" s="341">
        <v>2</v>
      </c>
      <c r="AD235" s="341" t="s">
        <v>440</v>
      </c>
      <c r="AE235" s="301">
        <v>2</v>
      </c>
      <c r="AF235" s="349" t="s">
        <v>455</v>
      </c>
    </row>
    <row r="236" spans="8:32">
      <c r="H236" s="340" t="s">
        <v>130</v>
      </c>
      <c r="I236" s="341" t="s">
        <v>451</v>
      </c>
      <c r="J236" s="341" t="s">
        <v>457</v>
      </c>
      <c r="K236" s="341" t="s">
        <v>461</v>
      </c>
      <c r="L236" s="341" t="s">
        <v>458</v>
      </c>
      <c r="M236" s="341" t="s">
        <v>445</v>
      </c>
      <c r="N236" s="341">
        <v>0.15</v>
      </c>
      <c r="O236" s="341" t="s">
        <v>443</v>
      </c>
      <c r="P236" s="341">
        <v>20</v>
      </c>
      <c r="Q236" s="341" t="s">
        <v>435</v>
      </c>
      <c r="R236" s="341">
        <v>20</v>
      </c>
      <c r="S236" s="341">
        <v>1</v>
      </c>
      <c r="T236" s="341" t="s">
        <v>440</v>
      </c>
      <c r="U236" s="341">
        <v>1</v>
      </c>
      <c r="V236" s="341" t="s">
        <v>478</v>
      </c>
      <c r="W236" s="341" t="s">
        <v>488</v>
      </c>
      <c r="X236" s="293" t="s">
        <v>491</v>
      </c>
      <c r="Y236" s="293" t="s">
        <v>490</v>
      </c>
      <c r="Z236" s="293">
        <v>5</v>
      </c>
      <c r="AA236" s="293" t="s">
        <v>489</v>
      </c>
      <c r="AB236" s="341" t="s">
        <v>439</v>
      </c>
      <c r="AC236" s="341">
        <v>2</v>
      </c>
      <c r="AD236" s="341" t="s">
        <v>440</v>
      </c>
      <c r="AE236" s="301">
        <v>2</v>
      </c>
      <c r="AF236" s="349" t="s">
        <v>455</v>
      </c>
    </row>
    <row r="237" spans="8:32">
      <c r="H237" s="340" t="s">
        <v>131</v>
      </c>
      <c r="I237" s="341" t="s">
        <v>451</v>
      </c>
      <c r="J237" s="341" t="s">
        <v>457</v>
      </c>
      <c r="K237" s="341" t="s">
        <v>461</v>
      </c>
      <c r="L237" s="341" t="s">
        <v>458</v>
      </c>
      <c r="M237" s="341" t="s">
        <v>445</v>
      </c>
      <c r="N237" s="341">
        <v>0.15</v>
      </c>
      <c r="O237" s="341" t="s">
        <v>443</v>
      </c>
      <c r="P237" s="341">
        <v>20</v>
      </c>
      <c r="Q237" s="341" t="s">
        <v>435</v>
      </c>
      <c r="R237" s="341">
        <v>20</v>
      </c>
      <c r="S237" s="341">
        <v>1</v>
      </c>
      <c r="T237" s="341" t="s">
        <v>440</v>
      </c>
      <c r="U237" s="341">
        <v>1</v>
      </c>
      <c r="V237" s="341" t="s">
        <v>478</v>
      </c>
      <c r="W237" s="341" t="s">
        <v>488</v>
      </c>
      <c r="X237" s="293" t="s">
        <v>491</v>
      </c>
      <c r="Y237" s="293" t="s">
        <v>490</v>
      </c>
      <c r="Z237" s="293">
        <v>5</v>
      </c>
      <c r="AA237" s="293" t="s">
        <v>489</v>
      </c>
      <c r="AB237" s="341" t="s">
        <v>439</v>
      </c>
      <c r="AC237" s="341">
        <v>2</v>
      </c>
      <c r="AD237" s="341" t="s">
        <v>440</v>
      </c>
      <c r="AE237" s="301">
        <v>2</v>
      </c>
      <c r="AF237" s="349" t="s">
        <v>455</v>
      </c>
    </row>
    <row r="238" spans="8:32">
      <c r="H238" s="340" t="s">
        <v>132</v>
      </c>
      <c r="I238" s="341" t="s">
        <v>451</v>
      </c>
      <c r="J238" s="341" t="s">
        <v>457</v>
      </c>
      <c r="K238" s="341" t="s">
        <v>461</v>
      </c>
      <c r="L238" s="341" t="s">
        <v>458</v>
      </c>
      <c r="M238" s="341" t="s">
        <v>445</v>
      </c>
      <c r="N238" s="341">
        <v>0.15</v>
      </c>
      <c r="O238" s="341" t="s">
        <v>443</v>
      </c>
      <c r="P238" s="341">
        <v>20</v>
      </c>
      <c r="Q238" s="341" t="s">
        <v>435</v>
      </c>
      <c r="R238" s="341">
        <v>20</v>
      </c>
      <c r="S238" s="341">
        <v>1</v>
      </c>
      <c r="T238" s="341" t="s">
        <v>440</v>
      </c>
      <c r="U238" s="341">
        <v>1</v>
      </c>
      <c r="V238" s="341" t="s">
        <v>478</v>
      </c>
      <c r="W238" s="341" t="s">
        <v>488</v>
      </c>
      <c r="X238" s="293" t="s">
        <v>491</v>
      </c>
      <c r="Y238" s="293" t="s">
        <v>490</v>
      </c>
      <c r="Z238" s="293">
        <v>5</v>
      </c>
      <c r="AA238" s="293" t="s">
        <v>489</v>
      </c>
      <c r="AB238" s="341" t="s">
        <v>439</v>
      </c>
      <c r="AC238" s="341">
        <v>3</v>
      </c>
      <c r="AD238" s="341" t="s">
        <v>440</v>
      </c>
      <c r="AE238" s="301">
        <v>2</v>
      </c>
      <c r="AF238" s="349" t="s">
        <v>455</v>
      </c>
    </row>
    <row r="239" spans="8:32">
      <c r="H239" s="340" t="s">
        <v>133</v>
      </c>
      <c r="I239" s="341" t="s">
        <v>451</v>
      </c>
      <c r="J239" s="341" t="s">
        <v>457</v>
      </c>
      <c r="K239" s="341" t="s">
        <v>461</v>
      </c>
      <c r="L239" s="341" t="s">
        <v>458</v>
      </c>
      <c r="M239" s="341" t="s">
        <v>445</v>
      </c>
      <c r="N239" s="341">
        <v>0.15</v>
      </c>
      <c r="O239" s="341" t="s">
        <v>443</v>
      </c>
      <c r="P239" s="341">
        <v>20</v>
      </c>
      <c r="Q239" s="341" t="s">
        <v>435</v>
      </c>
      <c r="R239" s="341">
        <v>20</v>
      </c>
      <c r="S239" s="341">
        <v>1</v>
      </c>
      <c r="T239" s="341" t="s">
        <v>440</v>
      </c>
      <c r="U239" s="341">
        <v>1</v>
      </c>
      <c r="V239" s="341" t="s">
        <v>478</v>
      </c>
      <c r="W239" s="341" t="s">
        <v>488</v>
      </c>
      <c r="X239" s="293" t="s">
        <v>491</v>
      </c>
      <c r="Y239" s="293" t="s">
        <v>490</v>
      </c>
      <c r="Z239" s="293">
        <v>5</v>
      </c>
      <c r="AA239" s="293" t="s">
        <v>489</v>
      </c>
      <c r="AB239" s="341" t="s">
        <v>439</v>
      </c>
      <c r="AC239" s="341">
        <v>3</v>
      </c>
      <c r="AD239" s="341" t="s">
        <v>440</v>
      </c>
      <c r="AE239" s="301">
        <v>2</v>
      </c>
      <c r="AF239" s="349" t="s">
        <v>455</v>
      </c>
    </row>
    <row r="240" spans="8:32">
      <c r="H240" s="340" t="s">
        <v>134</v>
      </c>
      <c r="I240" s="341" t="s">
        <v>451</v>
      </c>
      <c r="J240" s="341" t="s">
        <v>457</v>
      </c>
      <c r="K240" s="341" t="s">
        <v>461</v>
      </c>
      <c r="L240" s="341" t="s">
        <v>458</v>
      </c>
      <c r="M240" s="341" t="s">
        <v>445</v>
      </c>
      <c r="N240" s="341">
        <v>0.15</v>
      </c>
      <c r="O240" s="341" t="s">
        <v>443</v>
      </c>
      <c r="P240" s="341">
        <v>20</v>
      </c>
      <c r="Q240" s="341" t="s">
        <v>435</v>
      </c>
      <c r="R240" s="341">
        <v>20</v>
      </c>
      <c r="S240" s="341">
        <v>1</v>
      </c>
      <c r="T240" s="341" t="s">
        <v>440</v>
      </c>
      <c r="U240" s="341">
        <v>1</v>
      </c>
      <c r="V240" s="341" t="s">
        <v>478</v>
      </c>
      <c r="W240" s="341" t="s">
        <v>488</v>
      </c>
      <c r="X240" s="293" t="s">
        <v>491</v>
      </c>
      <c r="Y240" s="293" t="s">
        <v>490</v>
      </c>
      <c r="Z240" s="293">
        <v>5</v>
      </c>
      <c r="AA240" s="293" t="s">
        <v>489</v>
      </c>
      <c r="AB240" s="341" t="s">
        <v>439</v>
      </c>
      <c r="AC240" s="341">
        <v>3</v>
      </c>
      <c r="AD240" s="341" t="s">
        <v>440</v>
      </c>
      <c r="AE240" s="301">
        <v>2</v>
      </c>
      <c r="AF240" s="349" t="s">
        <v>455</v>
      </c>
    </row>
    <row r="241" spans="8:32">
      <c r="H241" s="340" t="s">
        <v>135</v>
      </c>
      <c r="I241" s="341" t="s">
        <v>451</v>
      </c>
      <c r="J241" s="341" t="s">
        <v>457</v>
      </c>
      <c r="K241" s="341" t="s">
        <v>461</v>
      </c>
      <c r="L241" s="341" t="s">
        <v>458</v>
      </c>
      <c r="M241" s="341" t="s">
        <v>445</v>
      </c>
      <c r="N241" s="341">
        <v>0.15</v>
      </c>
      <c r="O241" s="341" t="s">
        <v>443</v>
      </c>
      <c r="P241" s="341">
        <v>20</v>
      </c>
      <c r="Q241" s="341" t="s">
        <v>435</v>
      </c>
      <c r="R241" s="341">
        <v>20</v>
      </c>
      <c r="S241" s="341">
        <v>1</v>
      </c>
      <c r="T241" s="341" t="s">
        <v>440</v>
      </c>
      <c r="U241" s="341">
        <v>1</v>
      </c>
      <c r="V241" s="341" t="s">
        <v>478</v>
      </c>
      <c r="W241" s="341" t="s">
        <v>488</v>
      </c>
      <c r="X241" s="293" t="s">
        <v>491</v>
      </c>
      <c r="Y241" s="293" t="s">
        <v>490</v>
      </c>
      <c r="Z241" s="293">
        <v>5</v>
      </c>
      <c r="AA241" s="293" t="s">
        <v>489</v>
      </c>
      <c r="AB241" s="341" t="s">
        <v>439</v>
      </c>
      <c r="AC241" s="341">
        <v>3</v>
      </c>
      <c r="AD241" s="341" t="s">
        <v>440</v>
      </c>
      <c r="AE241" s="301">
        <v>2</v>
      </c>
      <c r="AF241" s="349" t="s">
        <v>455</v>
      </c>
    </row>
    <row r="242" spans="8:32">
      <c r="H242" s="340" t="s">
        <v>136</v>
      </c>
      <c r="I242" s="341" t="s">
        <v>451</v>
      </c>
      <c r="J242" s="341" t="s">
        <v>457</v>
      </c>
      <c r="K242" s="341" t="s">
        <v>461</v>
      </c>
      <c r="L242" s="341" t="s">
        <v>458</v>
      </c>
      <c r="M242" s="341" t="s">
        <v>445</v>
      </c>
      <c r="N242" s="341">
        <v>0.15</v>
      </c>
      <c r="O242" s="341" t="s">
        <v>443</v>
      </c>
      <c r="P242" s="341">
        <v>20</v>
      </c>
      <c r="Q242" s="341" t="s">
        <v>435</v>
      </c>
      <c r="R242" s="341">
        <v>20</v>
      </c>
      <c r="S242" s="341">
        <v>1</v>
      </c>
      <c r="T242" s="341" t="s">
        <v>440</v>
      </c>
      <c r="U242" s="341">
        <v>1</v>
      </c>
      <c r="V242" s="341" t="s">
        <v>478</v>
      </c>
      <c r="W242" s="341" t="s">
        <v>488</v>
      </c>
      <c r="X242" s="293" t="s">
        <v>491</v>
      </c>
      <c r="Y242" s="293" t="s">
        <v>490</v>
      </c>
      <c r="Z242" s="293">
        <v>5</v>
      </c>
      <c r="AA242" s="293" t="s">
        <v>489</v>
      </c>
      <c r="AB242" s="341" t="s">
        <v>439</v>
      </c>
      <c r="AC242" s="341">
        <v>3</v>
      </c>
      <c r="AD242" s="341" t="s">
        <v>440</v>
      </c>
      <c r="AE242" s="301">
        <v>2</v>
      </c>
      <c r="AF242" s="349" t="s">
        <v>455</v>
      </c>
    </row>
    <row r="243" spans="8:32">
      <c r="H243" s="340" t="s">
        <v>137</v>
      </c>
      <c r="I243" s="341" t="s">
        <v>451</v>
      </c>
      <c r="J243" s="341" t="s">
        <v>457</v>
      </c>
      <c r="K243" s="341" t="s">
        <v>461</v>
      </c>
      <c r="L243" s="341" t="s">
        <v>458</v>
      </c>
      <c r="M243" s="341" t="s">
        <v>445</v>
      </c>
      <c r="N243" s="341">
        <v>0.15</v>
      </c>
      <c r="O243" s="341" t="s">
        <v>443</v>
      </c>
      <c r="P243" s="341">
        <v>20</v>
      </c>
      <c r="Q243" s="341" t="s">
        <v>435</v>
      </c>
      <c r="R243" s="341">
        <v>20</v>
      </c>
      <c r="S243" s="341">
        <v>1</v>
      </c>
      <c r="T243" s="341" t="s">
        <v>440</v>
      </c>
      <c r="U243" s="341">
        <v>1</v>
      </c>
      <c r="V243" s="341" t="s">
        <v>478</v>
      </c>
      <c r="W243" s="341" t="s">
        <v>488</v>
      </c>
      <c r="X243" s="293" t="s">
        <v>491</v>
      </c>
      <c r="Y243" s="293" t="s">
        <v>490</v>
      </c>
      <c r="Z243" s="293">
        <v>5</v>
      </c>
      <c r="AA243" s="293" t="s">
        <v>489</v>
      </c>
      <c r="AB243" s="341" t="s">
        <v>439</v>
      </c>
      <c r="AC243" s="341">
        <v>3</v>
      </c>
      <c r="AD243" s="341" t="s">
        <v>440</v>
      </c>
      <c r="AE243" s="301">
        <v>2</v>
      </c>
      <c r="AF243" s="349" t="s">
        <v>455</v>
      </c>
    </row>
    <row r="244" spans="8:32">
      <c r="H244" s="340" t="s">
        <v>311</v>
      </c>
      <c r="I244" s="341" t="s">
        <v>451</v>
      </c>
      <c r="J244" s="341" t="s">
        <v>457</v>
      </c>
      <c r="K244" s="341" t="s">
        <v>461</v>
      </c>
      <c r="L244" s="341" t="s">
        <v>458</v>
      </c>
      <c r="M244" s="341" t="s">
        <v>445</v>
      </c>
      <c r="N244" s="341">
        <v>0.15</v>
      </c>
      <c r="O244" s="341" t="s">
        <v>443</v>
      </c>
      <c r="P244" s="341">
        <v>20</v>
      </c>
      <c r="Q244" s="341" t="s">
        <v>435</v>
      </c>
      <c r="R244" s="341">
        <v>20</v>
      </c>
      <c r="S244" s="341">
        <v>1</v>
      </c>
      <c r="T244" s="341" t="s">
        <v>440</v>
      </c>
      <c r="U244" s="341">
        <v>1</v>
      </c>
      <c r="V244" s="341" t="s">
        <v>478</v>
      </c>
      <c r="W244" s="341" t="s">
        <v>488</v>
      </c>
      <c r="X244" s="293" t="s">
        <v>491</v>
      </c>
      <c r="Y244" s="293" t="s">
        <v>490</v>
      </c>
      <c r="Z244" s="293">
        <v>5</v>
      </c>
      <c r="AA244" s="293" t="s">
        <v>489</v>
      </c>
      <c r="AB244" s="341" t="s">
        <v>439</v>
      </c>
      <c r="AC244" s="341">
        <v>3</v>
      </c>
      <c r="AD244" s="341" t="s">
        <v>440</v>
      </c>
      <c r="AE244" s="301">
        <v>2</v>
      </c>
      <c r="AF244" s="349" t="s">
        <v>455</v>
      </c>
    </row>
    <row r="245" spans="8:32">
      <c r="H245" s="340" t="s">
        <v>138</v>
      </c>
      <c r="I245" s="341" t="s">
        <v>451</v>
      </c>
      <c r="J245" s="341" t="s">
        <v>457</v>
      </c>
      <c r="K245" s="341" t="s">
        <v>461</v>
      </c>
      <c r="L245" s="341" t="s">
        <v>458</v>
      </c>
      <c r="M245" s="341" t="s">
        <v>445</v>
      </c>
      <c r="N245" s="341">
        <v>0.15</v>
      </c>
      <c r="O245" s="341" t="s">
        <v>443</v>
      </c>
      <c r="P245" s="341">
        <v>20</v>
      </c>
      <c r="Q245" s="341" t="s">
        <v>435</v>
      </c>
      <c r="R245" s="341">
        <v>20</v>
      </c>
      <c r="S245" s="341">
        <v>1</v>
      </c>
      <c r="T245" s="341" t="s">
        <v>440</v>
      </c>
      <c r="U245" s="341">
        <v>1</v>
      </c>
      <c r="V245" s="341" t="s">
        <v>478</v>
      </c>
      <c r="W245" s="341" t="s">
        <v>488</v>
      </c>
      <c r="X245" s="293" t="s">
        <v>491</v>
      </c>
      <c r="Y245" s="293" t="s">
        <v>490</v>
      </c>
      <c r="Z245" s="293">
        <v>5</v>
      </c>
      <c r="AA245" s="293" t="s">
        <v>489</v>
      </c>
      <c r="AB245" s="341" t="s">
        <v>439</v>
      </c>
      <c r="AC245" s="341">
        <v>3</v>
      </c>
      <c r="AD245" s="341" t="s">
        <v>440</v>
      </c>
      <c r="AE245" s="301">
        <v>2</v>
      </c>
      <c r="AF245" s="349" t="s">
        <v>455</v>
      </c>
    </row>
    <row r="246" spans="8:32">
      <c r="H246" s="340" t="s">
        <v>86</v>
      </c>
      <c r="I246" s="341" t="s">
        <v>451</v>
      </c>
      <c r="J246" s="341" t="s">
        <v>457</v>
      </c>
      <c r="K246" s="341" t="s">
        <v>461</v>
      </c>
      <c r="L246" s="341" t="s">
        <v>458</v>
      </c>
      <c r="M246" s="341" t="s">
        <v>445</v>
      </c>
      <c r="N246" s="341">
        <v>0.15</v>
      </c>
      <c r="O246" s="341" t="s">
        <v>443</v>
      </c>
      <c r="P246" s="341">
        <v>20</v>
      </c>
      <c r="Q246" s="341" t="s">
        <v>435</v>
      </c>
      <c r="R246" s="341">
        <v>20</v>
      </c>
      <c r="S246" s="341">
        <v>1</v>
      </c>
      <c r="T246" s="341" t="s">
        <v>440</v>
      </c>
      <c r="U246" s="341">
        <v>1</v>
      </c>
      <c r="V246" s="341" t="s">
        <v>478</v>
      </c>
      <c r="W246" s="341" t="s">
        <v>488</v>
      </c>
      <c r="X246" s="293" t="s">
        <v>491</v>
      </c>
      <c r="Y246" s="293" t="s">
        <v>490</v>
      </c>
      <c r="Z246" s="293">
        <v>5</v>
      </c>
      <c r="AA246" s="293" t="s">
        <v>489</v>
      </c>
      <c r="AB246" s="341" t="s">
        <v>439</v>
      </c>
      <c r="AC246" s="341">
        <v>3</v>
      </c>
      <c r="AD246" s="341" t="s">
        <v>440</v>
      </c>
      <c r="AE246" s="301">
        <v>2</v>
      </c>
      <c r="AF246" s="349" t="s">
        <v>455</v>
      </c>
    </row>
    <row r="247" spans="8:32">
      <c r="H247" s="340" t="s">
        <v>87</v>
      </c>
      <c r="I247" s="341" t="s">
        <v>451</v>
      </c>
      <c r="J247" s="341" t="s">
        <v>457</v>
      </c>
      <c r="K247" s="341" t="s">
        <v>461</v>
      </c>
      <c r="L247" s="341" t="s">
        <v>458</v>
      </c>
      <c r="M247" s="341" t="s">
        <v>445</v>
      </c>
      <c r="N247" s="341">
        <v>0.15</v>
      </c>
      <c r="O247" s="341" t="s">
        <v>443</v>
      </c>
      <c r="P247" s="341">
        <v>20</v>
      </c>
      <c r="Q247" s="341" t="s">
        <v>435</v>
      </c>
      <c r="R247" s="341">
        <v>20</v>
      </c>
      <c r="S247" s="341">
        <v>1</v>
      </c>
      <c r="T247" s="341" t="s">
        <v>440</v>
      </c>
      <c r="U247" s="341">
        <v>1</v>
      </c>
      <c r="V247" s="341" t="s">
        <v>478</v>
      </c>
      <c r="W247" s="341" t="s">
        <v>488</v>
      </c>
      <c r="X247" s="293" t="s">
        <v>491</v>
      </c>
      <c r="Y247" s="293" t="s">
        <v>490</v>
      </c>
      <c r="Z247" s="293">
        <v>5</v>
      </c>
      <c r="AA247" s="293" t="s">
        <v>489</v>
      </c>
      <c r="AB247" s="341" t="s">
        <v>439</v>
      </c>
      <c r="AC247" s="341">
        <v>3</v>
      </c>
      <c r="AD247" s="341" t="s">
        <v>440</v>
      </c>
      <c r="AE247" s="301">
        <v>2</v>
      </c>
      <c r="AF247" s="349" t="s">
        <v>455</v>
      </c>
    </row>
    <row r="248" spans="8:32">
      <c r="H248" s="340" t="s">
        <v>88</v>
      </c>
      <c r="I248" s="341" t="s">
        <v>451</v>
      </c>
      <c r="J248" s="341" t="s">
        <v>457</v>
      </c>
      <c r="K248" s="341" t="s">
        <v>461</v>
      </c>
      <c r="L248" s="341" t="s">
        <v>458</v>
      </c>
      <c r="M248" s="341" t="s">
        <v>445</v>
      </c>
      <c r="N248" s="341">
        <v>0.15</v>
      </c>
      <c r="O248" s="341" t="s">
        <v>443</v>
      </c>
      <c r="P248" s="341">
        <v>20</v>
      </c>
      <c r="Q248" s="341" t="s">
        <v>435</v>
      </c>
      <c r="R248" s="341">
        <v>20</v>
      </c>
      <c r="S248" s="341">
        <v>1</v>
      </c>
      <c r="T248" s="341" t="s">
        <v>440</v>
      </c>
      <c r="U248" s="341">
        <v>1</v>
      </c>
      <c r="V248" s="341" t="s">
        <v>478</v>
      </c>
      <c r="W248" s="341" t="s">
        <v>488</v>
      </c>
      <c r="X248" s="293" t="s">
        <v>491</v>
      </c>
      <c r="Y248" s="293" t="s">
        <v>490</v>
      </c>
      <c r="Z248" s="293">
        <v>5</v>
      </c>
      <c r="AA248" s="293" t="s">
        <v>489</v>
      </c>
      <c r="AB248" s="341" t="s">
        <v>439</v>
      </c>
      <c r="AC248" s="341">
        <v>3</v>
      </c>
      <c r="AD248" s="341" t="s">
        <v>440</v>
      </c>
      <c r="AE248" s="301">
        <v>2</v>
      </c>
      <c r="AF248" s="349" t="s">
        <v>455</v>
      </c>
    </row>
    <row r="249" spans="8:32">
      <c r="H249" s="340" t="s">
        <v>139</v>
      </c>
      <c r="I249" s="341" t="s">
        <v>451</v>
      </c>
      <c r="J249" s="341" t="s">
        <v>457</v>
      </c>
      <c r="K249" s="341" t="s">
        <v>461</v>
      </c>
      <c r="L249" s="341" t="s">
        <v>458</v>
      </c>
      <c r="M249" s="341" t="s">
        <v>445</v>
      </c>
      <c r="N249" s="341">
        <v>0.15</v>
      </c>
      <c r="O249" s="341" t="s">
        <v>443</v>
      </c>
      <c r="P249" s="341">
        <v>20</v>
      </c>
      <c r="Q249" s="341" t="s">
        <v>435</v>
      </c>
      <c r="R249" s="341">
        <v>20</v>
      </c>
      <c r="S249" s="341">
        <v>1</v>
      </c>
      <c r="T249" s="341" t="s">
        <v>438</v>
      </c>
      <c r="U249" s="341">
        <v>1</v>
      </c>
      <c r="V249" s="341" t="s">
        <v>540</v>
      </c>
      <c r="W249" s="341" t="s">
        <v>541</v>
      </c>
      <c r="X249" s="341" t="s">
        <v>542</v>
      </c>
      <c r="Y249" s="341" t="s">
        <v>490</v>
      </c>
      <c r="Z249" s="293" t="s">
        <v>542</v>
      </c>
      <c r="AA249" s="293" t="s">
        <v>543</v>
      </c>
      <c r="AB249" s="341" t="s">
        <v>439</v>
      </c>
      <c r="AC249" s="341">
        <v>6</v>
      </c>
      <c r="AD249" s="341" t="s">
        <v>440</v>
      </c>
      <c r="AE249" s="301">
        <v>2</v>
      </c>
      <c r="AF249" s="349" t="s">
        <v>455</v>
      </c>
    </row>
    <row r="250" spans="8:32">
      <c r="H250" s="340" t="s">
        <v>89</v>
      </c>
      <c r="I250" s="341" t="s">
        <v>451</v>
      </c>
      <c r="J250" s="341" t="s">
        <v>457</v>
      </c>
      <c r="K250" s="341" t="s">
        <v>461</v>
      </c>
      <c r="L250" s="341" t="s">
        <v>458</v>
      </c>
      <c r="M250" s="341" t="s">
        <v>445</v>
      </c>
      <c r="N250" s="341">
        <v>0.15</v>
      </c>
      <c r="O250" s="341" t="s">
        <v>443</v>
      </c>
      <c r="P250" s="341">
        <v>20</v>
      </c>
      <c r="Q250" s="341" t="s">
        <v>435</v>
      </c>
      <c r="R250" s="341">
        <v>20</v>
      </c>
      <c r="S250" s="341">
        <v>1</v>
      </c>
      <c r="T250" s="341" t="s">
        <v>438</v>
      </c>
      <c r="U250" s="341">
        <v>1</v>
      </c>
      <c r="V250" s="341" t="s">
        <v>540</v>
      </c>
      <c r="W250" s="341" t="s">
        <v>541</v>
      </c>
      <c r="X250" s="341" t="s">
        <v>542</v>
      </c>
      <c r="Y250" s="341" t="s">
        <v>490</v>
      </c>
      <c r="Z250" s="293" t="s">
        <v>542</v>
      </c>
      <c r="AA250" s="293" t="s">
        <v>543</v>
      </c>
      <c r="AB250" s="341" t="s">
        <v>439</v>
      </c>
      <c r="AC250" s="341">
        <v>6</v>
      </c>
      <c r="AD250" s="341" t="s">
        <v>440</v>
      </c>
      <c r="AE250" s="301">
        <v>2</v>
      </c>
      <c r="AF250" s="349" t="s">
        <v>455</v>
      </c>
    </row>
    <row r="251" spans="8:32">
      <c r="H251" s="340" t="s">
        <v>140</v>
      </c>
      <c r="I251" s="341" t="s">
        <v>451</v>
      </c>
      <c r="J251" s="341" t="s">
        <v>457</v>
      </c>
      <c r="K251" s="341" t="s">
        <v>461</v>
      </c>
      <c r="L251" s="341" t="s">
        <v>458</v>
      </c>
      <c r="M251" s="341" t="s">
        <v>445</v>
      </c>
      <c r="N251" s="341">
        <v>0.15</v>
      </c>
      <c r="O251" s="341" t="s">
        <v>443</v>
      </c>
      <c r="P251" s="341">
        <v>20</v>
      </c>
      <c r="Q251" s="341" t="s">
        <v>435</v>
      </c>
      <c r="R251" s="341">
        <v>20</v>
      </c>
      <c r="S251" s="341">
        <v>1</v>
      </c>
      <c r="T251" s="341" t="s">
        <v>438</v>
      </c>
      <c r="U251" s="341">
        <v>1</v>
      </c>
      <c r="V251" s="341" t="s">
        <v>540</v>
      </c>
      <c r="W251" s="341" t="s">
        <v>541</v>
      </c>
      <c r="X251" s="341" t="s">
        <v>542</v>
      </c>
      <c r="Y251" s="341" t="s">
        <v>490</v>
      </c>
      <c r="Z251" s="293" t="s">
        <v>542</v>
      </c>
      <c r="AA251" s="293" t="s">
        <v>543</v>
      </c>
      <c r="AB251" s="341" t="s">
        <v>439</v>
      </c>
      <c r="AC251" s="341">
        <v>6</v>
      </c>
      <c r="AD251" s="341" t="s">
        <v>440</v>
      </c>
      <c r="AE251" s="301">
        <v>2</v>
      </c>
      <c r="AF251" s="349" t="s">
        <v>455</v>
      </c>
    </row>
    <row r="252" spans="8:32">
      <c r="H252" s="340" t="s">
        <v>141</v>
      </c>
      <c r="I252" s="341" t="s">
        <v>451</v>
      </c>
      <c r="J252" s="341" t="s">
        <v>457</v>
      </c>
      <c r="K252" s="341" t="s">
        <v>461</v>
      </c>
      <c r="L252" s="341" t="s">
        <v>458</v>
      </c>
      <c r="M252" s="341" t="s">
        <v>445</v>
      </c>
      <c r="N252" s="341">
        <v>0.15</v>
      </c>
      <c r="O252" s="341" t="s">
        <v>443</v>
      </c>
      <c r="P252" s="341">
        <v>20</v>
      </c>
      <c r="Q252" s="341" t="s">
        <v>435</v>
      </c>
      <c r="R252" s="341">
        <v>20</v>
      </c>
      <c r="S252" s="341">
        <v>1</v>
      </c>
      <c r="T252" s="341" t="s">
        <v>438</v>
      </c>
      <c r="U252" s="341">
        <v>1</v>
      </c>
      <c r="V252" s="341" t="s">
        <v>540</v>
      </c>
      <c r="W252" s="341" t="s">
        <v>541</v>
      </c>
      <c r="X252" s="341" t="s">
        <v>542</v>
      </c>
      <c r="Y252" s="341" t="s">
        <v>490</v>
      </c>
      <c r="Z252" s="293" t="s">
        <v>542</v>
      </c>
      <c r="AA252" s="293" t="s">
        <v>543</v>
      </c>
      <c r="AB252" s="341" t="s">
        <v>439</v>
      </c>
      <c r="AC252" s="341">
        <v>6</v>
      </c>
      <c r="AD252" s="341" t="s">
        <v>440</v>
      </c>
      <c r="AE252" s="301">
        <v>2</v>
      </c>
      <c r="AF252" s="349" t="s">
        <v>455</v>
      </c>
    </row>
    <row r="253" spans="8:32">
      <c r="H253" s="340" t="s">
        <v>142</v>
      </c>
      <c r="I253" s="341" t="s">
        <v>451</v>
      </c>
      <c r="J253" s="341" t="s">
        <v>457</v>
      </c>
      <c r="K253" s="341" t="s">
        <v>461</v>
      </c>
      <c r="L253" s="341" t="s">
        <v>458</v>
      </c>
      <c r="M253" s="341" t="s">
        <v>445</v>
      </c>
      <c r="N253" s="341">
        <v>0.15</v>
      </c>
      <c r="O253" s="341" t="s">
        <v>443</v>
      </c>
      <c r="P253" s="341">
        <v>20</v>
      </c>
      <c r="Q253" s="341" t="s">
        <v>435</v>
      </c>
      <c r="R253" s="341">
        <v>20</v>
      </c>
      <c r="S253" s="341">
        <v>1</v>
      </c>
      <c r="T253" s="341" t="s">
        <v>438</v>
      </c>
      <c r="U253" s="341">
        <v>1</v>
      </c>
      <c r="V253" s="341" t="s">
        <v>540</v>
      </c>
      <c r="W253" s="341" t="s">
        <v>541</v>
      </c>
      <c r="X253" s="341" t="s">
        <v>542</v>
      </c>
      <c r="Y253" s="341" t="s">
        <v>490</v>
      </c>
      <c r="Z253" s="293" t="s">
        <v>542</v>
      </c>
      <c r="AA253" s="293" t="s">
        <v>543</v>
      </c>
      <c r="AB253" s="341" t="s">
        <v>439</v>
      </c>
      <c r="AC253" s="341">
        <v>6</v>
      </c>
      <c r="AD253" s="341" t="s">
        <v>440</v>
      </c>
      <c r="AE253" s="301">
        <v>2</v>
      </c>
      <c r="AF253" s="349" t="s">
        <v>455</v>
      </c>
    </row>
    <row r="254" spans="8:32">
      <c r="H254" s="340" t="s">
        <v>143</v>
      </c>
      <c r="I254" s="341" t="s">
        <v>451</v>
      </c>
      <c r="J254" s="341" t="s">
        <v>457</v>
      </c>
      <c r="K254" s="341" t="s">
        <v>461</v>
      </c>
      <c r="L254" s="341" t="s">
        <v>458</v>
      </c>
      <c r="M254" s="341" t="s">
        <v>445</v>
      </c>
      <c r="N254" s="341">
        <v>0.15</v>
      </c>
      <c r="O254" s="341" t="s">
        <v>443</v>
      </c>
      <c r="P254" s="341">
        <v>20</v>
      </c>
      <c r="Q254" s="341" t="s">
        <v>435</v>
      </c>
      <c r="R254" s="341">
        <v>20</v>
      </c>
      <c r="S254" s="341">
        <v>1</v>
      </c>
      <c r="T254" s="341" t="s">
        <v>438</v>
      </c>
      <c r="U254" s="341">
        <v>1</v>
      </c>
      <c r="V254" s="341" t="s">
        <v>540</v>
      </c>
      <c r="W254" s="341" t="s">
        <v>541</v>
      </c>
      <c r="X254" s="341" t="s">
        <v>542</v>
      </c>
      <c r="Y254" s="341" t="s">
        <v>490</v>
      </c>
      <c r="Z254" s="293" t="s">
        <v>542</v>
      </c>
      <c r="AA254" s="293" t="s">
        <v>543</v>
      </c>
      <c r="AB254" s="341" t="s">
        <v>439</v>
      </c>
      <c r="AC254" s="341">
        <v>6</v>
      </c>
      <c r="AD254" s="341" t="s">
        <v>440</v>
      </c>
      <c r="AE254" s="301">
        <v>2</v>
      </c>
      <c r="AF254" s="349" t="s">
        <v>455</v>
      </c>
    </row>
    <row r="255" spans="8:32">
      <c r="H255" s="340" t="s">
        <v>144</v>
      </c>
      <c r="I255" s="341" t="s">
        <v>451</v>
      </c>
      <c r="J255" s="341" t="s">
        <v>457</v>
      </c>
      <c r="K255" s="341" t="s">
        <v>461</v>
      </c>
      <c r="L255" s="341" t="s">
        <v>458</v>
      </c>
      <c r="M255" s="341" t="s">
        <v>445</v>
      </c>
      <c r="N255" s="341">
        <v>0.15</v>
      </c>
      <c r="O255" s="341" t="s">
        <v>443</v>
      </c>
      <c r="P255" s="341">
        <v>20</v>
      </c>
      <c r="Q255" s="341" t="s">
        <v>435</v>
      </c>
      <c r="R255" s="341">
        <v>20</v>
      </c>
      <c r="S255" s="341">
        <v>1</v>
      </c>
      <c r="T255" s="341" t="s">
        <v>438</v>
      </c>
      <c r="U255" s="341">
        <v>1</v>
      </c>
      <c r="V255" s="341" t="s">
        <v>540</v>
      </c>
      <c r="W255" s="341" t="s">
        <v>541</v>
      </c>
      <c r="X255" s="341" t="s">
        <v>542</v>
      </c>
      <c r="Y255" s="341" t="s">
        <v>490</v>
      </c>
      <c r="Z255" s="293" t="s">
        <v>542</v>
      </c>
      <c r="AA255" s="293" t="s">
        <v>543</v>
      </c>
      <c r="AB255" s="341" t="s">
        <v>439</v>
      </c>
      <c r="AC255" s="341">
        <v>6</v>
      </c>
      <c r="AD255" s="341" t="s">
        <v>440</v>
      </c>
      <c r="AE255" s="301">
        <v>2</v>
      </c>
      <c r="AF255" s="349" t="s">
        <v>455</v>
      </c>
    </row>
    <row r="256" spans="8:32">
      <c r="H256" s="340" t="s">
        <v>145</v>
      </c>
      <c r="I256" s="341" t="s">
        <v>451</v>
      </c>
      <c r="J256" s="341" t="s">
        <v>457</v>
      </c>
      <c r="K256" s="341" t="s">
        <v>461</v>
      </c>
      <c r="L256" s="341" t="s">
        <v>458</v>
      </c>
      <c r="M256" s="341" t="s">
        <v>445</v>
      </c>
      <c r="N256" s="341">
        <v>0.15</v>
      </c>
      <c r="O256" s="341" t="s">
        <v>443</v>
      </c>
      <c r="P256" s="341">
        <v>20</v>
      </c>
      <c r="Q256" s="341" t="s">
        <v>435</v>
      </c>
      <c r="R256" s="341">
        <v>20</v>
      </c>
      <c r="S256" s="341">
        <v>1</v>
      </c>
      <c r="T256" s="341" t="s">
        <v>438</v>
      </c>
      <c r="U256" s="341">
        <v>1</v>
      </c>
      <c r="V256" s="341" t="s">
        <v>540</v>
      </c>
      <c r="W256" s="341" t="s">
        <v>541</v>
      </c>
      <c r="X256" s="341" t="s">
        <v>542</v>
      </c>
      <c r="Y256" s="341" t="s">
        <v>490</v>
      </c>
      <c r="Z256" s="293" t="s">
        <v>542</v>
      </c>
      <c r="AA256" s="293" t="s">
        <v>543</v>
      </c>
      <c r="AB256" s="341" t="s">
        <v>439</v>
      </c>
      <c r="AC256" s="341">
        <v>6</v>
      </c>
      <c r="AD256" s="341" t="s">
        <v>440</v>
      </c>
      <c r="AE256" s="301">
        <v>2</v>
      </c>
      <c r="AF256" s="349" t="s">
        <v>455</v>
      </c>
    </row>
    <row r="257" spans="8:32">
      <c r="H257" s="340" t="s">
        <v>310</v>
      </c>
      <c r="I257" s="341" t="s">
        <v>451</v>
      </c>
      <c r="J257" s="341" t="s">
        <v>457</v>
      </c>
      <c r="K257" s="341" t="s">
        <v>461</v>
      </c>
      <c r="L257" s="341" t="s">
        <v>458</v>
      </c>
      <c r="M257" s="341" t="s">
        <v>445</v>
      </c>
      <c r="N257" s="341">
        <v>0.15</v>
      </c>
      <c r="O257" s="341" t="s">
        <v>443</v>
      </c>
      <c r="P257" s="341">
        <v>20</v>
      </c>
      <c r="Q257" s="341" t="s">
        <v>435</v>
      </c>
      <c r="R257" s="341">
        <v>20</v>
      </c>
      <c r="S257" s="341">
        <v>1</v>
      </c>
      <c r="T257" s="341" t="s">
        <v>438</v>
      </c>
      <c r="U257" s="341">
        <v>1</v>
      </c>
      <c r="V257" s="341" t="s">
        <v>540</v>
      </c>
      <c r="W257" s="341" t="s">
        <v>541</v>
      </c>
      <c r="X257" s="341" t="s">
        <v>542</v>
      </c>
      <c r="Y257" s="341" t="s">
        <v>490</v>
      </c>
      <c r="Z257" s="293" t="s">
        <v>542</v>
      </c>
      <c r="AA257" s="293" t="s">
        <v>543</v>
      </c>
      <c r="AB257" s="341" t="s">
        <v>439</v>
      </c>
      <c r="AC257" s="341">
        <v>6</v>
      </c>
      <c r="AD257" s="341" t="s">
        <v>440</v>
      </c>
      <c r="AE257" s="301">
        <v>2</v>
      </c>
      <c r="AF257" s="349" t="s">
        <v>455</v>
      </c>
    </row>
    <row r="258" spans="8:32">
      <c r="H258" s="340" t="s">
        <v>309</v>
      </c>
      <c r="I258" s="341" t="s">
        <v>451</v>
      </c>
      <c r="J258" s="341" t="s">
        <v>457</v>
      </c>
      <c r="K258" s="341" t="s">
        <v>461</v>
      </c>
      <c r="L258" s="341" t="s">
        <v>458</v>
      </c>
      <c r="M258" s="341" t="s">
        <v>445</v>
      </c>
      <c r="N258" s="341">
        <v>0.15</v>
      </c>
      <c r="O258" s="341" t="s">
        <v>443</v>
      </c>
      <c r="P258" s="341">
        <v>20</v>
      </c>
      <c r="Q258" s="341" t="s">
        <v>435</v>
      </c>
      <c r="R258" s="341">
        <v>20</v>
      </c>
      <c r="S258" s="341">
        <v>1</v>
      </c>
      <c r="T258" s="341" t="s">
        <v>438</v>
      </c>
      <c r="U258" s="341">
        <v>1</v>
      </c>
      <c r="V258" s="341" t="s">
        <v>540</v>
      </c>
      <c r="W258" s="341" t="s">
        <v>541</v>
      </c>
      <c r="X258" s="341" t="s">
        <v>542</v>
      </c>
      <c r="Y258" s="341" t="s">
        <v>490</v>
      </c>
      <c r="Z258" s="293" t="s">
        <v>542</v>
      </c>
      <c r="AA258" s="293" t="s">
        <v>543</v>
      </c>
      <c r="AB258" s="341" t="s">
        <v>439</v>
      </c>
      <c r="AC258" s="341">
        <v>6</v>
      </c>
      <c r="AD258" s="341" t="s">
        <v>440</v>
      </c>
      <c r="AE258" s="301">
        <v>2</v>
      </c>
      <c r="AF258" s="349" t="s">
        <v>455</v>
      </c>
    </row>
    <row r="259" spans="8:32">
      <c r="H259" s="340" t="s">
        <v>308</v>
      </c>
      <c r="I259" s="341" t="s">
        <v>451</v>
      </c>
      <c r="J259" s="341" t="s">
        <v>457</v>
      </c>
      <c r="K259" s="341" t="s">
        <v>461</v>
      </c>
      <c r="L259" s="341" t="s">
        <v>458</v>
      </c>
      <c r="M259" s="341" t="s">
        <v>445</v>
      </c>
      <c r="N259" s="341">
        <v>0.15</v>
      </c>
      <c r="O259" s="341" t="s">
        <v>443</v>
      </c>
      <c r="P259" s="341">
        <v>20</v>
      </c>
      <c r="Q259" s="341" t="s">
        <v>435</v>
      </c>
      <c r="R259" s="341">
        <v>20</v>
      </c>
      <c r="S259" s="341">
        <v>1</v>
      </c>
      <c r="T259" s="341" t="s">
        <v>438</v>
      </c>
      <c r="U259" s="341">
        <v>1</v>
      </c>
      <c r="V259" s="341" t="s">
        <v>540</v>
      </c>
      <c r="W259" s="341" t="s">
        <v>541</v>
      </c>
      <c r="X259" s="341" t="s">
        <v>542</v>
      </c>
      <c r="Y259" s="341" t="s">
        <v>490</v>
      </c>
      <c r="Z259" s="293" t="s">
        <v>542</v>
      </c>
      <c r="AA259" s="293" t="s">
        <v>543</v>
      </c>
      <c r="AB259" s="341" t="s">
        <v>439</v>
      </c>
      <c r="AC259" s="341">
        <v>6</v>
      </c>
      <c r="AD259" s="341" t="s">
        <v>440</v>
      </c>
      <c r="AE259" s="301">
        <v>2</v>
      </c>
      <c r="AF259" s="349" t="s">
        <v>455</v>
      </c>
    </row>
    <row r="260" spans="8:32">
      <c r="H260" s="340" t="s">
        <v>146</v>
      </c>
      <c r="I260" s="341" t="s">
        <v>451</v>
      </c>
      <c r="J260" s="341" t="s">
        <v>457</v>
      </c>
      <c r="K260" s="341" t="s">
        <v>461</v>
      </c>
      <c r="L260" s="341" t="s">
        <v>458</v>
      </c>
      <c r="M260" s="341" t="s">
        <v>445</v>
      </c>
      <c r="N260" s="341">
        <v>0.15</v>
      </c>
      <c r="O260" s="341" t="s">
        <v>443</v>
      </c>
      <c r="P260" s="341">
        <v>20</v>
      </c>
      <c r="Q260" s="341" t="s">
        <v>435</v>
      </c>
      <c r="R260" s="341">
        <v>20</v>
      </c>
      <c r="S260" s="341">
        <v>1</v>
      </c>
      <c r="T260" s="341" t="s">
        <v>438</v>
      </c>
      <c r="U260" s="341">
        <v>1</v>
      </c>
      <c r="V260" s="341" t="s">
        <v>540</v>
      </c>
      <c r="W260" s="341" t="s">
        <v>541</v>
      </c>
      <c r="X260" s="341" t="s">
        <v>542</v>
      </c>
      <c r="Y260" s="341" t="s">
        <v>490</v>
      </c>
      <c r="Z260" s="293" t="s">
        <v>542</v>
      </c>
      <c r="AA260" s="293" t="s">
        <v>543</v>
      </c>
      <c r="AB260" s="341" t="s">
        <v>439</v>
      </c>
      <c r="AC260" s="341">
        <v>6</v>
      </c>
      <c r="AD260" s="341" t="s">
        <v>440</v>
      </c>
      <c r="AE260" s="301">
        <v>2</v>
      </c>
      <c r="AF260" s="349" t="s">
        <v>455</v>
      </c>
    </row>
    <row r="261" spans="8:32">
      <c r="H261" s="340" t="s">
        <v>91</v>
      </c>
      <c r="I261" s="341" t="s">
        <v>451</v>
      </c>
      <c r="J261" s="341" t="s">
        <v>457</v>
      </c>
      <c r="K261" s="341" t="s">
        <v>461</v>
      </c>
      <c r="L261" s="341" t="s">
        <v>458</v>
      </c>
      <c r="M261" s="341" t="s">
        <v>445</v>
      </c>
      <c r="N261" s="341">
        <v>0.15</v>
      </c>
      <c r="O261" s="341" t="s">
        <v>443</v>
      </c>
      <c r="P261" s="341">
        <v>20</v>
      </c>
      <c r="Q261" s="341" t="s">
        <v>435</v>
      </c>
      <c r="R261" s="341">
        <v>20</v>
      </c>
      <c r="S261" s="341">
        <v>1</v>
      </c>
      <c r="T261" s="341" t="s">
        <v>440</v>
      </c>
      <c r="U261" s="341">
        <v>1</v>
      </c>
      <c r="V261" s="341" t="s">
        <v>478</v>
      </c>
      <c r="W261" s="341" t="s">
        <v>488</v>
      </c>
      <c r="X261" s="293" t="s">
        <v>491</v>
      </c>
      <c r="Y261" s="293" t="s">
        <v>490</v>
      </c>
      <c r="Z261" s="293">
        <v>5</v>
      </c>
      <c r="AA261" s="293" t="s">
        <v>489</v>
      </c>
      <c r="AB261" s="341" t="s">
        <v>439</v>
      </c>
      <c r="AC261" s="341">
        <v>3</v>
      </c>
      <c r="AD261" s="341" t="s">
        <v>440</v>
      </c>
      <c r="AE261" s="301">
        <v>2</v>
      </c>
      <c r="AF261" s="349" t="s">
        <v>455</v>
      </c>
    </row>
    <row r="262" spans="8:32">
      <c r="H262" s="340" t="s">
        <v>306</v>
      </c>
      <c r="I262" s="341" t="s">
        <v>451</v>
      </c>
      <c r="J262" s="341" t="s">
        <v>457</v>
      </c>
      <c r="K262" s="341" t="s">
        <v>461</v>
      </c>
      <c r="L262" s="341" t="s">
        <v>458</v>
      </c>
      <c r="M262" s="341" t="s">
        <v>445</v>
      </c>
      <c r="N262" s="341">
        <v>0.15</v>
      </c>
      <c r="O262" s="341" t="s">
        <v>443</v>
      </c>
      <c r="P262" s="341">
        <v>20</v>
      </c>
      <c r="Q262" s="341" t="s">
        <v>435</v>
      </c>
      <c r="R262" s="341">
        <v>20</v>
      </c>
      <c r="S262" s="341">
        <v>1</v>
      </c>
      <c r="T262" s="341" t="s">
        <v>440</v>
      </c>
      <c r="U262" s="341">
        <v>1</v>
      </c>
      <c r="V262" s="341" t="s">
        <v>478</v>
      </c>
      <c r="W262" s="341" t="s">
        <v>488</v>
      </c>
      <c r="X262" s="293" t="s">
        <v>491</v>
      </c>
      <c r="Y262" s="293" t="s">
        <v>490</v>
      </c>
      <c r="Z262" s="293">
        <v>5</v>
      </c>
      <c r="AA262" s="293" t="s">
        <v>489</v>
      </c>
      <c r="AB262" s="341" t="s">
        <v>439</v>
      </c>
      <c r="AC262" s="341">
        <v>3</v>
      </c>
      <c r="AD262" s="341" t="s">
        <v>440</v>
      </c>
      <c r="AE262" s="301">
        <v>2</v>
      </c>
      <c r="AF262" s="349" t="s">
        <v>455</v>
      </c>
    </row>
    <row r="263" spans="8:32">
      <c r="H263" s="340" t="s">
        <v>92</v>
      </c>
      <c r="I263" s="341" t="s">
        <v>451</v>
      </c>
      <c r="J263" s="341" t="s">
        <v>457</v>
      </c>
      <c r="K263" s="341" t="s">
        <v>461</v>
      </c>
      <c r="L263" s="341" t="s">
        <v>458</v>
      </c>
      <c r="M263" s="341" t="s">
        <v>445</v>
      </c>
      <c r="N263" s="341">
        <v>0.15</v>
      </c>
      <c r="O263" s="341" t="s">
        <v>443</v>
      </c>
      <c r="P263" s="341">
        <v>20</v>
      </c>
      <c r="Q263" s="341" t="s">
        <v>435</v>
      </c>
      <c r="R263" s="341">
        <v>20</v>
      </c>
      <c r="S263" s="341">
        <v>1</v>
      </c>
      <c r="T263" s="341" t="s">
        <v>440</v>
      </c>
      <c r="U263" s="341">
        <v>1</v>
      </c>
      <c r="V263" s="341" t="s">
        <v>478</v>
      </c>
      <c r="W263" s="341" t="s">
        <v>488</v>
      </c>
      <c r="X263" s="293" t="s">
        <v>491</v>
      </c>
      <c r="Y263" s="293" t="s">
        <v>490</v>
      </c>
      <c r="Z263" s="293">
        <v>5</v>
      </c>
      <c r="AA263" s="293" t="s">
        <v>489</v>
      </c>
      <c r="AB263" s="341" t="s">
        <v>439</v>
      </c>
      <c r="AC263" s="341">
        <v>3</v>
      </c>
      <c r="AD263" s="341" t="s">
        <v>440</v>
      </c>
      <c r="AE263" s="301">
        <v>2</v>
      </c>
      <c r="AF263" s="349" t="s">
        <v>455</v>
      </c>
    </row>
    <row r="264" spans="8:32">
      <c r="H264" s="340" t="s">
        <v>93</v>
      </c>
      <c r="I264" s="341" t="s">
        <v>451</v>
      </c>
      <c r="J264" s="341" t="s">
        <v>457</v>
      </c>
      <c r="K264" s="341" t="s">
        <v>461</v>
      </c>
      <c r="L264" s="341" t="s">
        <v>458</v>
      </c>
      <c r="M264" s="341" t="s">
        <v>445</v>
      </c>
      <c r="N264" s="341">
        <v>0.15</v>
      </c>
      <c r="O264" s="341" t="s">
        <v>443</v>
      </c>
      <c r="P264" s="341">
        <v>20</v>
      </c>
      <c r="Q264" s="341" t="s">
        <v>435</v>
      </c>
      <c r="R264" s="341">
        <v>20</v>
      </c>
      <c r="S264" s="341">
        <v>1</v>
      </c>
      <c r="T264" s="341" t="s">
        <v>440</v>
      </c>
      <c r="U264" s="341">
        <v>1</v>
      </c>
      <c r="V264" s="341" t="s">
        <v>478</v>
      </c>
      <c r="W264" s="341" t="s">
        <v>488</v>
      </c>
      <c r="X264" s="293" t="s">
        <v>491</v>
      </c>
      <c r="Y264" s="293" t="s">
        <v>490</v>
      </c>
      <c r="Z264" s="293">
        <v>5</v>
      </c>
      <c r="AA264" s="293" t="s">
        <v>489</v>
      </c>
      <c r="AB264" s="341" t="s">
        <v>439</v>
      </c>
      <c r="AC264" s="341">
        <v>3</v>
      </c>
      <c r="AD264" s="341" t="s">
        <v>440</v>
      </c>
      <c r="AE264" s="301">
        <v>2</v>
      </c>
      <c r="AF264" s="349" t="s">
        <v>455</v>
      </c>
    </row>
    <row r="265" spans="8:32">
      <c r="H265" s="340" t="s">
        <v>94</v>
      </c>
      <c r="I265" s="341" t="s">
        <v>451</v>
      </c>
      <c r="J265" s="341" t="s">
        <v>457</v>
      </c>
      <c r="K265" s="341" t="s">
        <v>461</v>
      </c>
      <c r="L265" s="341" t="s">
        <v>458</v>
      </c>
      <c r="M265" s="341" t="s">
        <v>445</v>
      </c>
      <c r="N265" s="341">
        <v>0.15</v>
      </c>
      <c r="O265" s="341" t="s">
        <v>443</v>
      </c>
      <c r="P265" s="341">
        <v>20</v>
      </c>
      <c r="Q265" s="341" t="s">
        <v>435</v>
      </c>
      <c r="R265" s="341">
        <v>20</v>
      </c>
      <c r="S265" s="341">
        <v>1</v>
      </c>
      <c r="T265" s="341" t="s">
        <v>438</v>
      </c>
      <c r="U265" s="341">
        <v>1</v>
      </c>
      <c r="V265" s="341" t="s">
        <v>540</v>
      </c>
      <c r="W265" s="341" t="s">
        <v>541</v>
      </c>
      <c r="X265" s="341" t="s">
        <v>542</v>
      </c>
      <c r="Y265" s="341" t="s">
        <v>490</v>
      </c>
      <c r="Z265" s="293" t="s">
        <v>542</v>
      </c>
      <c r="AA265" s="293" t="s">
        <v>543</v>
      </c>
      <c r="AB265" s="341" t="s">
        <v>439</v>
      </c>
      <c r="AC265" s="341">
        <v>6</v>
      </c>
      <c r="AD265" s="341" t="s">
        <v>440</v>
      </c>
      <c r="AE265" s="301">
        <v>2</v>
      </c>
      <c r="AF265" s="349" t="s">
        <v>455</v>
      </c>
    </row>
    <row r="266" spans="8:32">
      <c r="H266" s="340" t="s">
        <v>155</v>
      </c>
      <c r="I266" s="341" t="s">
        <v>451</v>
      </c>
      <c r="J266" s="341" t="s">
        <v>457</v>
      </c>
      <c r="K266" s="341" t="s">
        <v>461</v>
      </c>
      <c r="L266" s="341" t="s">
        <v>458</v>
      </c>
      <c r="M266" s="341" t="s">
        <v>445</v>
      </c>
      <c r="N266" s="341">
        <v>0.15</v>
      </c>
      <c r="O266" s="341" t="s">
        <v>443</v>
      </c>
      <c r="P266" s="341">
        <v>20</v>
      </c>
      <c r="Q266" s="341" t="s">
        <v>435</v>
      </c>
      <c r="R266" s="341">
        <v>20</v>
      </c>
      <c r="S266" s="341">
        <v>1</v>
      </c>
      <c r="T266" s="341" t="s">
        <v>440</v>
      </c>
      <c r="U266" s="341">
        <v>1</v>
      </c>
      <c r="V266" s="341" t="s">
        <v>478</v>
      </c>
      <c r="W266" s="341" t="s">
        <v>488</v>
      </c>
      <c r="X266" s="293" t="s">
        <v>491</v>
      </c>
      <c r="Y266" s="293" t="s">
        <v>490</v>
      </c>
      <c r="Z266" s="293">
        <v>5</v>
      </c>
      <c r="AA266" s="293" t="s">
        <v>489</v>
      </c>
      <c r="AB266" s="341" t="s">
        <v>439</v>
      </c>
      <c r="AC266" s="341">
        <v>3</v>
      </c>
      <c r="AD266" s="341" t="s">
        <v>440</v>
      </c>
      <c r="AE266" s="301">
        <v>2</v>
      </c>
      <c r="AF266" s="349" t="s">
        <v>455</v>
      </c>
    </row>
    <row r="267" spans="8:32">
      <c r="H267" s="340" t="s">
        <v>156</v>
      </c>
      <c r="I267" s="341" t="s">
        <v>451</v>
      </c>
      <c r="J267" s="341" t="s">
        <v>457</v>
      </c>
      <c r="K267" s="341" t="s">
        <v>461</v>
      </c>
      <c r="L267" s="341" t="s">
        <v>458</v>
      </c>
      <c r="M267" s="341" t="s">
        <v>445</v>
      </c>
      <c r="N267" s="341">
        <v>0.15</v>
      </c>
      <c r="O267" s="341" t="s">
        <v>443</v>
      </c>
      <c r="P267" s="341">
        <v>20</v>
      </c>
      <c r="Q267" s="341" t="s">
        <v>435</v>
      </c>
      <c r="R267" s="341">
        <v>20</v>
      </c>
      <c r="S267" s="341">
        <v>1</v>
      </c>
      <c r="T267" s="341" t="s">
        <v>440</v>
      </c>
      <c r="U267" s="341">
        <v>1</v>
      </c>
      <c r="V267" s="341" t="s">
        <v>478</v>
      </c>
      <c r="W267" s="341" t="s">
        <v>488</v>
      </c>
      <c r="X267" s="293" t="s">
        <v>491</v>
      </c>
      <c r="Y267" s="293" t="s">
        <v>490</v>
      </c>
      <c r="Z267" s="293">
        <v>5</v>
      </c>
      <c r="AA267" s="293" t="s">
        <v>489</v>
      </c>
      <c r="AB267" s="341" t="s">
        <v>439</v>
      </c>
      <c r="AC267" s="341">
        <v>3</v>
      </c>
      <c r="AD267" s="341" t="s">
        <v>440</v>
      </c>
      <c r="AE267" s="301">
        <v>2</v>
      </c>
      <c r="AF267" s="349" t="s">
        <v>455</v>
      </c>
    </row>
    <row r="268" spans="8:32">
      <c r="H268" s="340" t="s">
        <v>96</v>
      </c>
      <c r="I268" s="341" t="s">
        <v>451</v>
      </c>
      <c r="J268" s="341" t="s">
        <v>457</v>
      </c>
      <c r="K268" s="341" t="s">
        <v>461</v>
      </c>
      <c r="L268" s="341" t="s">
        <v>458</v>
      </c>
      <c r="M268" s="341" t="s">
        <v>445</v>
      </c>
      <c r="N268" s="341">
        <v>0.15</v>
      </c>
      <c r="O268" s="341" t="s">
        <v>443</v>
      </c>
      <c r="P268" s="341">
        <v>20</v>
      </c>
      <c r="Q268" s="341" t="s">
        <v>435</v>
      </c>
      <c r="R268" s="341">
        <v>20</v>
      </c>
      <c r="S268" s="341">
        <v>1</v>
      </c>
      <c r="T268" s="341" t="s">
        <v>440</v>
      </c>
      <c r="U268" s="341">
        <v>1</v>
      </c>
      <c r="V268" s="341" t="s">
        <v>478</v>
      </c>
      <c r="W268" s="341" t="s">
        <v>488</v>
      </c>
      <c r="X268" s="293" t="s">
        <v>491</v>
      </c>
      <c r="Y268" s="293" t="s">
        <v>490</v>
      </c>
      <c r="Z268" s="293">
        <v>5</v>
      </c>
      <c r="AA268" s="293" t="s">
        <v>489</v>
      </c>
      <c r="AB268" s="341" t="s">
        <v>439</v>
      </c>
      <c r="AC268" s="341">
        <v>3</v>
      </c>
      <c r="AD268" s="341" t="s">
        <v>440</v>
      </c>
      <c r="AE268" s="301">
        <v>2</v>
      </c>
      <c r="AF268" s="349" t="s">
        <v>455</v>
      </c>
    </row>
    <row r="269" spans="8:32">
      <c r="H269" s="340" t="s">
        <v>97</v>
      </c>
      <c r="I269" s="341" t="s">
        <v>451</v>
      </c>
      <c r="J269" s="341" t="s">
        <v>457</v>
      </c>
      <c r="K269" s="341" t="s">
        <v>461</v>
      </c>
      <c r="L269" s="341" t="s">
        <v>458</v>
      </c>
      <c r="M269" s="341" t="s">
        <v>445</v>
      </c>
      <c r="N269" s="341">
        <v>0.15</v>
      </c>
      <c r="O269" s="341" t="s">
        <v>443</v>
      </c>
      <c r="P269" s="341">
        <v>20</v>
      </c>
      <c r="Q269" s="341" t="s">
        <v>435</v>
      </c>
      <c r="R269" s="341">
        <v>20</v>
      </c>
      <c r="S269" s="341">
        <v>1</v>
      </c>
      <c r="T269" s="341" t="s">
        <v>440</v>
      </c>
      <c r="U269" s="341">
        <v>1</v>
      </c>
      <c r="V269" s="341" t="s">
        <v>478</v>
      </c>
      <c r="W269" s="341" t="s">
        <v>488</v>
      </c>
      <c r="X269" s="293" t="s">
        <v>491</v>
      </c>
      <c r="Y269" s="293" t="s">
        <v>490</v>
      </c>
      <c r="Z269" s="293">
        <v>5</v>
      </c>
      <c r="AA269" s="293" t="s">
        <v>489</v>
      </c>
      <c r="AB269" s="341" t="s">
        <v>439</v>
      </c>
      <c r="AC269" s="341">
        <v>3</v>
      </c>
      <c r="AD269" s="341" t="s">
        <v>440</v>
      </c>
      <c r="AE269" s="301">
        <v>2</v>
      </c>
      <c r="AF269" s="349" t="s">
        <v>455</v>
      </c>
    </row>
    <row r="270" spans="8:32">
      <c r="H270" s="340" t="s">
        <v>98</v>
      </c>
      <c r="I270" s="341" t="s">
        <v>451</v>
      </c>
      <c r="J270" s="341" t="s">
        <v>457</v>
      </c>
      <c r="K270" s="341" t="s">
        <v>461</v>
      </c>
      <c r="L270" s="341" t="s">
        <v>458</v>
      </c>
      <c r="M270" s="341" t="s">
        <v>445</v>
      </c>
      <c r="N270" s="341">
        <v>0.15</v>
      </c>
      <c r="O270" s="341" t="s">
        <v>443</v>
      </c>
      <c r="P270" s="341">
        <v>20</v>
      </c>
      <c r="Q270" s="341" t="s">
        <v>435</v>
      </c>
      <c r="R270" s="341">
        <v>20</v>
      </c>
      <c r="S270" s="341">
        <v>1</v>
      </c>
      <c r="T270" s="341" t="s">
        <v>440</v>
      </c>
      <c r="U270" s="341">
        <v>1</v>
      </c>
      <c r="V270" s="341" t="s">
        <v>478</v>
      </c>
      <c r="W270" s="341" t="s">
        <v>488</v>
      </c>
      <c r="X270" s="293" t="s">
        <v>491</v>
      </c>
      <c r="Y270" s="293" t="s">
        <v>490</v>
      </c>
      <c r="Z270" s="293">
        <v>5</v>
      </c>
      <c r="AA270" s="293" t="s">
        <v>489</v>
      </c>
      <c r="AB270" s="341" t="s">
        <v>439</v>
      </c>
      <c r="AC270" s="341">
        <v>3</v>
      </c>
      <c r="AD270" s="341" t="s">
        <v>440</v>
      </c>
      <c r="AE270" s="301">
        <v>2</v>
      </c>
      <c r="AF270" s="349" t="s">
        <v>455</v>
      </c>
    </row>
    <row r="271" spans="8:32">
      <c r="H271" s="340" t="s">
        <v>104</v>
      </c>
      <c r="I271" s="341" t="s">
        <v>451</v>
      </c>
      <c r="J271" s="341" t="s">
        <v>457</v>
      </c>
      <c r="K271" s="341" t="s">
        <v>461</v>
      </c>
      <c r="L271" s="341" t="s">
        <v>458</v>
      </c>
      <c r="M271" s="341" t="s">
        <v>445</v>
      </c>
      <c r="N271" s="341">
        <v>0.15</v>
      </c>
      <c r="O271" s="341" t="s">
        <v>443</v>
      </c>
      <c r="P271" s="341">
        <v>20</v>
      </c>
      <c r="Q271" s="341" t="s">
        <v>435</v>
      </c>
      <c r="R271" s="341">
        <v>20</v>
      </c>
      <c r="S271" s="341">
        <v>1</v>
      </c>
      <c r="T271" s="341" t="s">
        <v>440</v>
      </c>
      <c r="U271" s="341">
        <v>1</v>
      </c>
      <c r="V271" s="341" t="s">
        <v>478</v>
      </c>
      <c r="W271" s="341" t="s">
        <v>488</v>
      </c>
      <c r="X271" s="293" t="s">
        <v>491</v>
      </c>
      <c r="Y271" s="293" t="s">
        <v>490</v>
      </c>
      <c r="Z271" s="293">
        <v>5</v>
      </c>
      <c r="AA271" s="293" t="s">
        <v>489</v>
      </c>
      <c r="AB271" s="341" t="s">
        <v>439</v>
      </c>
      <c r="AC271" s="341">
        <v>3</v>
      </c>
      <c r="AD271" s="341" t="s">
        <v>440</v>
      </c>
      <c r="AE271" s="301">
        <v>2</v>
      </c>
      <c r="AF271" s="349" t="s">
        <v>455</v>
      </c>
    </row>
    <row r="272" spans="8:32">
      <c r="H272" s="340" t="s">
        <v>303</v>
      </c>
      <c r="I272" s="341" t="s">
        <v>451</v>
      </c>
      <c r="J272" s="341" t="s">
        <v>457</v>
      </c>
      <c r="K272" s="341" t="s">
        <v>461</v>
      </c>
      <c r="L272" s="341" t="s">
        <v>458</v>
      </c>
      <c r="M272" s="341" t="s">
        <v>445</v>
      </c>
      <c r="N272" s="341">
        <v>0.15</v>
      </c>
      <c r="O272" s="341" t="s">
        <v>443</v>
      </c>
      <c r="P272" s="341">
        <v>20</v>
      </c>
      <c r="Q272" s="341" t="s">
        <v>435</v>
      </c>
      <c r="R272" s="341">
        <v>20</v>
      </c>
      <c r="S272" s="341">
        <v>1</v>
      </c>
      <c r="T272" s="341" t="s">
        <v>440</v>
      </c>
      <c r="U272" s="341">
        <v>1</v>
      </c>
      <c r="V272" s="341" t="s">
        <v>478</v>
      </c>
      <c r="W272" s="341" t="s">
        <v>488</v>
      </c>
      <c r="X272" s="293" t="s">
        <v>491</v>
      </c>
      <c r="Y272" s="293" t="s">
        <v>490</v>
      </c>
      <c r="Z272" s="293">
        <v>5</v>
      </c>
      <c r="AA272" s="293" t="s">
        <v>489</v>
      </c>
      <c r="AB272" s="341" t="s">
        <v>439</v>
      </c>
      <c r="AC272" s="341">
        <v>3</v>
      </c>
      <c r="AD272" s="341" t="s">
        <v>440</v>
      </c>
      <c r="AE272" s="301">
        <v>2</v>
      </c>
      <c r="AF272" s="349" t="s">
        <v>455</v>
      </c>
    </row>
    <row r="273" spans="8:32">
      <c r="H273" s="340" t="s">
        <v>105</v>
      </c>
      <c r="I273" s="341" t="s">
        <v>451</v>
      </c>
      <c r="J273" s="341" t="s">
        <v>457</v>
      </c>
      <c r="K273" s="341" t="s">
        <v>461</v>
      </c>
      <c r="L273" s="341" t="s">
        <v>458</v>
      </c>
      <c r="M273" s="341" t="s">
        <v>445</v>
      </c>
      <c r="N273" s="341">
        <v>0.15</v>
      </c>
      <c r="O273" s="341" t="s">
        <v>443</v>
      </c>
      <c r="P273" s="341">
        <v>20</v>
      </c>
      <c r="Q273" s="341" t="s">
        <v>435</v>
      </c>
      <c r="R273" s="341">
        <v>20</v>
      </c>
      <c r="S273" s="341">
        <v>1</v>
      </c>
      <c r="T273" s="341" t="s">
        <v>440</v>
      </c>
      <c r="U273" s="341">
        <v>1</v>
      </c>
      <c r="V273" s="341" t="s">
        <v>478</v>
      </c>
      <c r="W273" s="341" t="s">
        <v>488</v>
      </c>
      <c r="X273" s="293" t="s">
        <v>491</v>
      </c>
      <c r="Y273" s="293" t="s">
        <v>490</v>
      </c>
      <c r="Z273" s="293">
        <v>5</v>
      </c>
      <c r="AA273" s="293" t="s">
        <v>489</v>
      </c>
      <c r="AB273" s="341" t="s">
        <v>439</v>
      </c>
      <c r="AC273" s="341">
        <v>3</v>
      </c>
      <c r="AD273" s="341" t="s">
        <v>440</v>
      </c>
      <c r="AE273" s="301">
        <v>2</v>
      </c>
      <c r="AF273" s="349" t="s">
        <v>455</v>
      </c>
    </row>
    <row r="274" spans="8:32">
      <c r="H274" s="340" t="s">
        <v>106</v>
      </c>
      <c r="I274" s="341" t="s">
        <v>451</v>
      </c>
      <c r="J274" s="341" t="s">
        <v>457</v>
      </c>
      <c r="K274" s="341" t="s">
        <v>461</v>
      </c>
      <c r="L274" s="341" t="s">
        <v>458</v>
      </c>
      <c r="M274" s="341" t="s">
        <v>445</v>
      </c>
      <c r="N274" s="341">
        <v>0.15</v>
      </c>
      <c r="O274" s="341" t="s">
        <v>443</v>
      </c>
      <c r="P274" s="341">
        <v>20</v>
      </c>
      <c r="Q274" s="341" t="s">
        <v>435</v>
      </c>
      <c r="R274" s="341">
        <v>20</v>
      </c>
      <c r="S274" s="341">
        <v>1</v>
      </c>
      <c r="T274" s="341" t="s">
        <v>440</v>
      </c>
      <c r="U274" s="341">
        <v>1</v>
      </c>
      <c r="V274" s="341" t="s">
        <v>478</v>
      </c>
      <c r="W274" s="341" t="s">
        <v>488</v>
      </c>
      <c r="X274" s="293" t="s">
        <v>491</v>
      </c>
      <c r="Y274" s="293" t="s">
        <v>490</v>
      </c>
      <c r="Z274" s="293">
        <v>5</v>
      </c>
      <c r="AA274" s="293" t="s">
        <v>489</v>
      </c>
      <c r="AB274" s="341" t="s">
        <v>439</v>
      </c>
      <c r="AC274" s="341">
        <v>3</v>
      </c>
      <c r="AD274" s="341" t="s">
        <v>440</v>
      </c>
      <c r="AE274" s="301">
        <v>2</v>
      </c>
      <c r="AF274" s="349" t="s">
        <v>455</v>
      </c>
    </row>
    <row r="275" spans="8:32">
      <c r="H275" s="340" t="s">
        <v>158</v>
      </c>
      <c r="I275" s="341" t="s">
        <v>451</v>
      </c>
      <c r="J275" s="341" t="s">
        <v>457</v>
      </c>
      <c r="K275" s="341" t="s">
        <v>461</v>
      </c>
      <c r="L275" s="341" t="s">
        <v>458</v>
      </c>
      <c r="M275" s="341" t="s">
        <v>445</v>
      </c>
      <c r="N275" s="341">
        <v>0.15</v>
      </c>
      <c r="O275" s="341" t="s">
        <v>443</v>
      </c>
      <c r="P275" s="341">
        <v>20</v>
      </c>
      <c r="Q275" s="341" t="s">
        <v>435</v>
      </c>
      <c r="R275" s="341">
        <v>20</v>
      </c>
      <c r="S275" s="341">
        <v>1</v>
      </c>
      <c r="T275" s="341" t="s">
        <v>438</v>
      </c>
      <c r="U275" s="341">
        <v>1</v>
      </c>
      <c r="V275" s="341" t="s">
        <v>540</v>
      </c>
      <c r="W275" s="341" t="s">
        <v>541</v>
      </c>
      <c r="X275" s="341" t="s">
        <v>542</v>
      </c>
      <c r="Y275" s="341" t="s">
        <v>490</v>
      </c>
      <c r="Z275" s="293" t="s">
        <v>542</v>
      </c>
      <c r="AA275" s="293" t="s">
        <v>543</v>
      </c>
      <c r="AB275" s="341" t="s">
        <v>439</v>
      </c>
      <c r="AC275" s="341">
        <v>6</v>
      </c>
      <c r="AD275" s="341" t="s">
        <v>440</v>
      </c>
      <c r="AE275" s="301">
        <v>2</v>
      </c>
      <c r="AF275" s="349" t="s">
        <v>455</v>
      </c>
    </row>
    <row r="276" spans="8:32">
      <c r="H276" s="340" t="s">
        <v>159</v>
      </c>
      <c r="I276" s="341" t="s">
        <v>451</v>
      </c>
      <c r="J276" s="341" t="s">
        <v>457</v>
      </c>
      <c r="K276" s="341" t="s">
        <v>461</v>
      </c>
      <c r="L276" s="341" t="s">
        <v>458</v>
      </c>
      <c r="M276" s="341" t="s">
        <v>445</v>
      </c>
      <c r="N276" s="341">
        <v>0.15</v>
      </c>
      <c r="O276" s="341" t="s">
        <v>443</v>
      </c>
      <c r="P276" s="341">
        <v>20</v>
      </c>
      <c r="Q276" s="341" t="s">
        <v>435</v>
      </c>
      <c r="R276" s="341">
        <v>20</v>
      </c>
      <c r="S276" s="341">
        <v>1</v>
      </c>
      <c r="T276" s="341" t="s">
        <v>438</v>
      </c>
      <c r="U276" s="341">
        <v>1</v>
      </c>
      <c r="V276" s="341" t="s">
        <v>540</v>
      </c>
      <c r="W276" s="341" t="s">
        <v>541</v>
      </c>
      <c r="X276" s="341" t="s">
        <v>542</v>
      </c>
      <c r="Y276" s="341" t="s">
        <v>490</v>
      </c>
      <c r="Z276" s="293" t="s">
        <v>542</v>
      </c>
      <c r="AA276" s="293" t="s">
        <v>543</v>
      </c>
      <c r="AB276" s="341" t="s">
        <v>439</v>
      </c>
      <c r="AC276" s="341">
        <v>6</v>
      </c>
      <c r="AD276" s="341" t="s">
        <v>440</v>
      </c>
      <c r="AE276" s="301">
        <v>2</v>
      </c>
      <c r="AF276" s="349" t="s">
        <v>455</v>
      </c>
    </row>
    <row r="277" spans="8:32">
      <c r="H277" s="344" t="s">
        <v>297</v>
      </c>
      <c r="I277" s="341" t="s">
        <v>451</v>
      </c>
      <c r="J277" s="341" t="s">
        <v>457</v>
      </c>
      <c r="K277" s="341" t="s">
        <v>461</v>
      </c>
      <c r="L277" s="341" t="s">
        <v>458</v>
      </c>
      <c r="M277" s="341" t="s">
        <v>445</v>
      </c>
      <c r="N277" s="341">
        <v>0.15</v>
      </c>
      <c r="O277" s="341" t="s">
        <v>443</v>
      </c>
      <c r="P277" s="341">
        <v>20</v>
      </c>
      <c r="Q277" s="341" t="s">
        <v>435</v>
      </c>
      <c r="R277" s="341">
        <v>20</v>
      </c>
      <c r="S277" s="341">
        <v>1</v>
      </c>
      <c r="T277" s="341" t="s">
        <v>440</v>
      </c>
      <c r="U277" s="341">
        <v>1</v>
      </c>
      <c r="V277" s="341" t="s">
        <v>478</v>
      </c>
      <c r="W277" s="341" t="s">
        <v>488</v>
      </c>
      <c r="X277" s="293" t="s">
        <v>491</v>
      </c>
      <c r="Y277" s="293" t="s">
        <v>490</v>
      </c>
      <c r="Z277" s="293">
        <v>5</v>
      </c>
      <c r="AA277" s="293" t="s">
        <v>489</v>
      </c>
      <c r="AB277" s="341" t="s">
        <v>439</v>
      </c>
      <c r="AC277" s="341">
        <v>3</v>
      </c>
      <c r="AD277" s="341" t="s">
        <v>440</v>
      </c>
      <c r="AE277" s="301">
        <v>2</v>
      </c>
      <c r="AF277" s="349" t="s">
        <v>455</v>
      </c>
    </row>
    <row r="278" spans="8:32">
      <c r="H278" s="344" t="s">
        <v>296</v>
      </c>
      <c r="I278" s="341" t="s">
        <v>451</v>
      </c>
      <c r="J278" s="341" t="s">
        <v>457</v>
      </c>
      <c r="K278" s="341" t="s">
        <v>461</v>
      </c>
      <c r="L278" s="341" t="s">
        <v>458</v>
      </c>
      <c r="M278" s="341" t="s">
        <v>445</v>
      </c>
      <c r="N278" s="341">
        <v>0.15</v>
      </c>
      <c r="O278" s="341" t="s">
        <v>443</v>
      </c>
      <c r="P278" s="341">
        <v>20</v>
      </c>
      <c r="Q278" s="341" t="s">
        <v>435</v>
      </c>
      <c r="R278" s="341">
        <v>20</v>
      </c>
      <c r="S278" s="341">
        <v>1</v>
      </c>
      <c r="T278" s="341" t="s">
        <v>440</v>
      </c>
      <c r="U278" s="341">
        <v>1</v>
      </c>
      <c r="V278" s="341" t="s">
        <v>478</v>
      </c>
      <c r="W278" s="341" t="s">
        <v>488</v>
      </c>
      <c r="X278" s="293" t="s">
        <v>491</v>
      </c>
      <c r="Y278" s="293" t="s">
        <v>490</v>
      </c>
      <c r="Z278" s="293">
        <v>5</v>
      </c>
      <c r="AA278" s="293" t="s">
        <v>489</v>
      </c>
      <c r="AB278" s="341" t="s">
        <v>439</v>
      </c>
      <c r="AC278" s="341">
        <v>3</v>
      </c>
      <c r="AD278" s="341" t="s">
        <v>440</v>
      </c>
      <c r="AE278" s="301">
        <v>2</v>
      </c>
      <c r="AF278" s="349" t="s">
        <v>455</v>
      </c>
    </row>
    <row r="279" spans="8:32">
      <c r="H279" s="344" t="s">
        <v>295</v>
      </c>
      <c r="I279" s="341" t="s">
        <v>451</v>
      </c>
      <c r="J279" s="341" t="s">
        <v>457</v>
      </c>
      <c r="K279" s="341" t="s">
        <v>461</v>
      </c>
      <c r="L279" s="341" t="s">
        <v>458</v>
      </c>
      <c r="M279" s="341" t="s">
        <v>445</v>
      </c>
      <c r="N279" s="341">
        <v>0.15</v>
      </c>
      <c r="O279" s="341" t="s">
        <v>443</v>
      </c>
      <c r="P279" s="341">
        <v>20</v>
      </c>
      <c r="Q279" s="341" t="s">
        <v>435</v>
      </c>
      <c r="R279" s="341">
        <v>20</v>
      </c>
      <c r="S279" s="341">
        <v>1</v>
      </c>
      <c r="T279" s="341" t="s">
        <v>440</v>
      </c>
      <c r="U279" s="341">
        <v>1</v>
      </c>
      <c r="V279" s="341" t="s">
        <v>478</v>
      </c>
      <c r="W279" s="341" t="s">
        <v>488</v>
      </c>
      <c r="X279" s="293" t="s">
        <v>491</v>
      </c>
      <c r="Y279" s="293" t="s">
        <v>490</v>
      </c>
      <c r="Z279" s="293">
        <v>5</v>
      </c>
      <c r="AA279" s="293" t="s">
        <v>489</v>
      </c>
      <c r="AB279" s="341" t="s">
        <v>439</v>
      </c>
      <c r="AC279" s="341">
        <v>3</v>
      </c>
      <c r="AD279" s="341" t="s">
        <v>440</v>
      </c>
      <c r="AE279" s="301">
        <v>2</v>
      </c>
      <c r="AF279" s="349" t="s">
        <v>455</v>
      </c>
    </row>
    <row r="280" spans="8:32">
      <c r="H280" s="344" t="s">
        <v>294</v>
      </c>
      <c r="I280" s="341" t="s">
        <v>451</v>
      </c>
      <c r="J280" s="341" t="s">
        <v>457</v>
      </c>
      <c r="K280" s="341" t="s">
        <v>461</v>
      </c>
      <c r="L280" s="341" t="s">
        <v>458</v>
      </c>
      <c r="M280" s="341" t="s">
        <v>445</v>
      </c>
      <c r="N280" s="341">
        <v>0.15</v>
      </c>
      <c r="O280" s="341" t="s">
        <v>443</v>
      </c>
      <c r="P280" s="341">
        <v>20</v>
      </c>
      <c r="Q280" s="341" t="s">
        <v>435</v>
      </c>
      <c r="R280" s="341">
        <v>20</v>
      </c>
      <c r="S280" s="341">
        <v>1</v>
      </c>
      <c r="T280" s="341" t="s">
        <v>440</v>
      </c>
      <c r="U280" s="341">
        <v>1</v>
      </c>
      <c r="V280" s="341" t="s">
        <v>478</v>
      </c>
      <c r="W280" s="341" t="s">
        <v>488</v>
      </c>
      <c r="X280" s="293" t="s">
        <v>491</v>
      </c>
      <c r="Y280" s="293" t="s">
        <v>490</v>
      </c>
      <c r="Z280" s="293">
        <v>5</v>
      </c>
      <c r="AA280" s="293" t="s">
        <v>489</v>
      </c>
      <c r="AB280" s="341" t="s">
        <v>439</v>
      </c>
      <c r="AC280" s="341">
        <v>3</v>
      </c>
      <c r="AD280" s="341" t="s">
        <v>440</v>
      </c>
      <c r="AE280" s="301">
        <v>2</v>
      </c>
      <c r="AF280" s="349" t="s">
        <v>455</v>
      </c>
    </row>
    <row r="281" spans="8:32">
      <c r="H281" s="344" t="s">
        <v>293</v>
      </c>
      <c r="I281" s="341" t="s">
        <v>451</v>
      </c>
      <c r="J281" s="341" t="s">
        <v>457</v>
      </c>
      <c r="K281" s="341" t="s">
        <v>461</v>
      </c>
      <c r="L281" s="341" t="s">
        <v>458</v>
      </c>
      <c r="M281" s="341" t="s">
        <v>445</v>
      </c>
      <c r="N281" s="341">
        <v>0.15</v>
      </c>
      <c r="O281" s="341" t="s">
        <v>443</v>
      </c>
      <c r="P281" s="341">
        <v>20</v>
      </c>
      <c r="Q281" s="341" t="s">
        <v>435</v>
      </c>
      <c r="R281" s="341">
        <v>20</v>
      </c>
      <c r="S281" s="341">
        <v>1</v>
      </c>
      <c r="T281" s="341" t="s">
        <v>438</v>
      </c>
      <c r="U281" s="341">
        <v>1</v>
      </c>
      <c r="V281" s="341" t="s">
        <v>540</v>
      </c>
      <c r="W281" s="341" t="s">
        <v>541</v>
      </c>
      <c r="X281" s="341" t="s">
        <v>542</v>
      </c>
      <c r="Y281" s="341" t="s">
        <v>490</v>
      </c>
      <c r="Z281" s="293" t="s">
        <v>542</v>
      </c>
      <c r="AA281" s="293" t="s">
        <v>543</v>
      </c>
      <c r="AB281" s="341" t="s">
        <v>439</v>
      </c>
      <c r="AC281" s="341">
        <v>6</v>
      </c>
      <c r="AD281" s="341" t="s">
        <v>440</v>
      </c>
      <c r="AE281" s="301">
        <v>2</v>
      </c>
      <c r="AF281" s="349" t="s">
        <v>455</v>
      </c>
    </row>
    <row r="282" spans="8:32">
      <c r="H282" s="344" t="s">
        <v>292</v>
      </c>
      <c r="I282" s="341" t="s">
        <v>451</v>
      </c>
      <c r="J282" s="341" t="s">
        <v>457</v>
      </c>
      <c r="K282" s="341" t="s">
        <v>461</v>
      </c>
      <c r="L282" s="341" t="s">
        <v>458</v>
      </c>
      <c r="M282" s="341" t="s">
        <v>445</v>
      </c>
      <c r="N282" s="341">
        <v>0.15</v>
      </c>
      <c r="O282" s="341" t="s">
        <v>443</v>
      </c>
      <c r="P282" s="341">
        <v>20</v>
      </c>
      <c r="Q282" s="341" t="s">
        <v>435</v>
      </c>
      <c r="R282" s="341">
        <v>20</v>
      </c>
      <c r="S282" s="341">
        <v>1</v>
      </c>
      <c r="T282" s="341" t="s">
        <v>438</v>
      </c>
      <c r="U282" s="341">
        <v>1</v>
      </c>
      <c r="V282" s="341" t="s">
        <v>540</v>
      </c>
      <c r="W282" s="341" t="s">
        <v>541</v>
      </c>
      <c r="X282" s="341" t="s">
        <v>542</v>
      </c>
      <c r="Y282" s="341" t="s">
        <v>490</v>
      </c>
      <c r="Z282" s="293" t="s">
        <v>542</v>
      </c>
      <c r="AA282" s="293" t="s">
        <v>543</v>
      </c>
      <c r="AB282" s="341" t="s">
        <v>439</v>
      </c>
      <c r="AC282" s="341">
        <v>6</v>
      </c>
      <c r="AD282" s="341" t="s">
        <v>440</v>
      </c>
      <c r="AE282" s="301">
        <v>2</v>
      </c>
      <c r="AF282" s="349" t="s">
        <v>455</v>
      </c>
    </row>
    <row r="283" spans="8:32">
      <c r="H283" s="344" t="s">
        <v>291</v>
      </c>
      <c r="I283" s="341" t="s">
        <v>451</v>
      </c>
      <c r="J283" s="341" t="s">
        <v>457</v>
      </c>
      <c r="K283" s="341" t="s">
        <v>461</v>
      </c>
      <c r="L283" s="341" t="s">
        <v>458</v>
      </c>
      <c r="M283" s="341" t="s">
        <v>445</v>
      </c>
      <c r="N283" s="341">
        <v>0.15</v>
      </c>
      <c r="O283" s="341" t="s">
        <v>443</v>
      </c>
      <c r="P283" s="341">
        <v>20</v>
      </c>
      <c r="Q283" s="341" t="s">
        <v>435</v>
      </c>
      <c r="R283" s="341">
        <v>20</v>
      </c>
      <c r="S283" s="341">
        <v>1</v>
      </c>
      <c r="T283" s="341" t="s">
        <v>438</v>
      </c>
      <c r="U283" s="341">
        <v>1</v>
      </c>
      <c r="V283" s="341" t="s">
        <v>540</v>
      </c>
      <c r="W283" s="341" t="s">
        <v>541</v>
      </c>
      <c r="X283" s="341" t="s">
        <v>542</v>
      </c>
      <c r="Y283" s="341" t="s">
        <v>490</v>
      </c>
      <c r="Z283" s="293" t="s">
        <v>542</v>
      </c>
      <c r="AA283" s="293" t="s">
        <v>543</v>
      </c>
      <c r="AB283" s="341" t="s">
        <v>439</v>
      </c>
      <c r="AC283" s="341">
        <v>6</v>
      </c>
      <c r="AD283" s="341" t="s">
        <v>440</v>
      </c>
      <c r="AE283" s="301">
        <v>2</v>
      </c>
      <c r="AF283" s="349" t="s">
        <v>455</v>
      </c>
    </row>
    <row r="284" spans="8:32">
      <c r="H284" s="344" t="s">
        <v>290</v>
      </c>
      <c r="I284" s="341" t="s">
        <v>451</v>
      </c>
      <c r="J284" s="341" t="s">
        <v>457</v>
      </c>
      <c r="K284" s="341" t="s">
        <v>461</v>
      </c>
      <c r="L284" s="341" t="s">
        <v>458</v>
      </c>
      <c r="M284" s="341" t="s">
        <v>445</v>
      </c>
      <c r="N284" s="341">
        <v>0.15</v>
      </c>
      <c r="O284" s="341" t="s">
        <v>443</v>
      </c>
      <c r="P284" s="341">
        <v>20</v>
      </c>
      <c r="Q284" s="341" t="s">
        <v>435</v>
      </c>
      <c r="R284" s="341">
        <v>20</v>
      </c>
      <c r="S284" s="341">
        <v>1</v>
      </c>
      <c r="T284" s="341" t="s">
        <v>438</v>
      </c>
      <c r="U284" s="341">
        <v>1</v>
      </c>
      <c r="V284" s="341" t="s">
        <v>540</v>
      </c>
      <c r="W284" s="341" t="s">
        <v>541</v>
      </c>
      <c r="X284" s="341" t="s">
        <v>542</v>
      </c>
      <c r="Y284" s="341" t="s">
        <v>490</v>
      </c>
      <c r="Z284" s="293" t="s">
        <v>542</v>
      </c>
      <c r="AA284" s="293" t="s">
        <v>543</v>
      </c>
      <c r="AB284" s="341" t="s">
        <v>439</v>
      </c>
      <c r="AC284" s="341">
        <v>6</v>
      </c>
      <c r="AD284" s="341" t="s">
        <v>440</v>
      </c>
      <c r="AE284" s="301">
        <v>2</v>
      </c>
      <c r="AF284" s="349" t="s">
        <v>455</v>
      </c>
    </row>
    <row r="285" spans="8:32">
      <c r="H285" s="344" t="s">
        <v>289</v>
      </c>
      <c r="I285" s="341" t="s">
        <v>451</v>
      </c>
      <c r="J285" s="341" t="s">
        <v>457</v>
      </c>
      <c r="K285" s="341" t="s">
        <v>461</v>
      </c>
      <c r="L285" s="341" t="s">
        <v>458</v>
      </c>
      <c r="M285" s="341" t="s">
        <v>445</v>
      </c>
      <c r="N285" s="341">
        <v>0.15</v>
      </c>
      <c r="O285" s="341" t="s">
        <v>443</v>
      </c>
      <c r="P285" s="341">
        <v>20</v>
      </c>
      <c r="Q285" s="341" t="s">
        <v>435</v>
      </c>
      <c r="R285" s="341">
        <v>20</v>
      </c>
      <c r="S285" s="341">
        <v>1</v>
      </c>
      <c r="T285" s="341" t="s">
        <v>438</v>
      </c>
      <c r="U285" s="341">
        <v>1</v>
      </c>
      <c r="V285" s="341" t="s">
        <v>540</v>
      </c>
      <c r="W285" s="341" t="s">
        <v>541</v>
      </c>
      <c r="X285" s="341" t="s">
        <v>542</v>
      </c>
      <c r="Y285" s="341" t="s">
        <v>490</v>
      </c>
      <c r="Z285" s="293" t="s">
        <v>542</v>
      </c>
      <c r="AA285" s="293" t="s">
        <v>543</v>
      </c>
      <c r="AB285" s="341" t="s">
        <v>439</v>
      </c>
      <c r="AC285" s="341">
        <v>6</v>
      </c>
      <c r="AD285" s="341" t="s">
        <v>440</v>
      </c>
      <c r="AE285" s="301">
        <v>2</v>
      </c>
      <c r="AF285" s="349" t="s">
        <v>455</v>
      </c>
    </row>
    <row r="286" spans="8:32">
      <c r="H286" s="344" t="s">
        <v>288</v>
      </c>
      <c r="I286" s="341" t="s">
        <v>451</v>
      </c>
      <c r="J286" s="341" t="s">
        <v>457</v>
      </c>
      <c r="K286" s="341" t="s">
        <v>461</v>
      </c>
      <c r="L286" s="341" t="s">
        <v>458</v>
      </c>
      <c r="M286" s="341" t="s">
        <v>445</v>
      </c>
      <c r="N286" s="341">
        <v>0.15</v>
      </c>
      <c r="O286" s="341" t="s">
        <v>443</v>
      </c>
      <c r="P286" s="341">
        <v>20</v>
      </c>
      <c r="Q286" s="341" t="s">
        <v>435</v>
      </c>
      <c r="R286" s="341">
        <v>20</v>
      </c>
      <c r="S286" s="341">
        <v>1</v>
      </c>
      <c r="T286" s="341" t="s">
        <v>438</v>
      </c>
      <c r="U286" s="341">
        <v>1</v>
      </c>
      <c r="V286" s="341" t="s">
        <v>540</v>
      </c>
      <c r="W286" s="341" t="s">
        <v>541</v>
      </c>
      <c r="X286" s="341" t="s">
        <v>542</v>
      </c>
      <c r="Y286" s="341" t="s">
        <v>490</v>
      </c>
      <c r="Z286" s="293" t="s">
        <v>542</v>
      </c>
      <c r="AA286" s="293" t="s">
        <v>543</v>
      </c>
      <c r="AB286" s="341" t="s">
        <v>439</v>
      </c>
      <c r="AC286" s="341">
        <v>6</v>
      </c>
      <c r="AD286" s="341" t="s">
        <v>440</v>
      </c>
      <c r="AE286" s="301">
        <v>2</v>
      </c>
      <c r="AF286" s="349" t="s">
        <v>455</v>
      </c>
    </row>
    <row r="287" spans="8:32">
      <c r="H287" s="344" t="s">
        <v>287</v>
      </c>
      <c r="I287" s="341" t="s">
        <v>451</v>
      </c>
      <c r="J287" s="341" t="s">
        <v>457</v>
      </c>
      <c r="K287" s="341" t="s">
        <v>461</v>
      </c>
      <c r="L287" s="341" t="s">
        <v>458</v>
      </c>
      <c r="M287" s="341" t="s">
        <v>445</v>
      </c>
      <c r="N287" s="341">
        <v>0.15</v>
      </c>
      <c r="O287" s="341" t="s">
        <v>443</v>
      </c>
      <c r="P287" s="341">
        <v>20</v>
      </c>
      <c r="Q287" s="341" t="s">
        <v>435</v>
      </c>
      <c r="R287" s="341">
        <v>20</v>
      </c>
      <c r="S287" s="341">
        <v>1</v>
      </c>
      <c r="T287" s="341" t="s">
        <v>440</v>
      </c>
      <c r="U287" s="341">
        <v>1</v>
      </c>
      <c r="V287" s="341" t="s">
        <v>478</v>
      </c>
      <c r="W287" s="341" t="s">
        <v>488</v>
      </c>
      <c r="X287" s="293" t="s">
        <v>491</v>
      </c>
      <c r="Y287" s="293" t="s">
        <v>490</v>
      </c>
      <c r="Z287" s="293">
        <v>5</v>
      </c>
      <c r="AA287" s="293" t="s">
        <v>489</v>
      </c>
      <c r="AB287" s="341" t="s">
        <v>439</v>
      </c>
      <c r="AC287" s="341">
        <v>3</v>
      </c>
      <c r="AD287" s="341" t="s">
        <v>440</v>
      </c>
      <c r="AE287" s="301">
        <v>2</v>
      </c>
      <c r="AF287" s="349" t="s">
        <v>455</v>
      </c>
    </row>
    <row r="288" spans="8:32">
      <c r="H288" s="344" t="s">
        <v>286</v>
      </c>
      <c r="I288" s="341" t="s">
        <v>451</v>
      </c>
      <c r="J288" s="341" t="s">
        <v>457</v>
      </c>
      <c r="K288" s="341" t="s">
        <v>461</v>
      </c>
      <c r="L288" s="341" t="s">
        <v>458</v>
      </c>
      <c r="M288" s="341" t="s">
        <v>445</v>
      </c>
      <c r="N288" s="341">
        <v>0.15</v>
      </c>
      <c r="O288" s="341" t="s">
        <v>443</v>
      </c>
      <c r="P288" s="341">
        <v>20</v>
      </c>
      <c r="Q288" s="341" t="s">
        <v>435</v>
      </c>
      <c r="R288" s="341">
        <v>20</v>
      </c>
      <c r="S288" s="341">
        <v>1</v>
      </c>
      <c r="T288" s="341" t="s">
        <v>440</v>
      </c>
      <c r="U288" s="341">
        <v>1</v>
      </c>
      <c r="V288" s="341" t="s">
        <v>478</v>
      </c>
      <c r="W288" s="341" t="s">
        <v>488</v>
      </c>
      <c r="X288" s="293" t="s">
        <v>491</v>
      </c>
      <c r="Y288" s="293" t="s">
        <v>490</v>
      </c>
      <c r="Z288" s="293">
        <v>5</v>
      </c>
      <c r="AA288" s="293" t="s">
        <v>489</v>
      </c>
      <c r="AB288" s="341" t="s">
        <v>439</v>
      </c>
      <c r="AC288" s="341">
        <v>3</v>
      </c>
      <c r="AD288" s="341" t="s">
        <v>440</v>
      </c>
      <c r="AE288" s="301">
        <v>2</v>
      </c>
      <c r="AF288" s="349" t="s">
        <v>455</v>
      </c>
    </row>
    <row r="289" spans="8:32">
      <c r="H289" s="344" t="s">
        <v>285</v>
      </c>
      <c r="I289" s="341" t="s">
        <v>451</v>
      </c>
      <c r="J289" s="341" t="s">
        <v>457</v>
      </c>
      <c r="K289" s="341" t="s">
        <v>461</v>
      </c>
      <c r="L289" s="341" t="s">
        <v>458</v>
      </c>
      <c r="M289" s="341" t="s">
        <v>445</v>
      </c>
      <c r="N289" s="341">
        <v>0.15</v>
      </c>
      <c r="O289" s="341" t="s">
        <v>443</v>
      </c>
      <c r="P289" s="341">
        <v>20</v>
      </c>
      <c r="Q289" s="341" t="s">
        <v>435</v>
      </c>
      <c r="R289" s="341">
        <v>20</v>
      </c>
      <c r="S289" s="341">
        <v>1</v>
      </c>
      <c r="T289" s="341" t="s">
        <v>440</v>
      </c>
      <c r="U289" s="341">
        <v>1</v>
      </c>
      <c r="V289" s="341" t="s">
        <v>478</v>
      </c>
      <c r="W289" s="341" t="s">
        <v>488</v>
      </c>
      <c r="X289" s="293" t="s">
        <v>491</v>
      </c>
      <c r="Y289" s="293" t="s">
        <v>490</v>
      </c>
      <c r="Z289" s="293">
        <v>5</v>
      </c>
      <c r="AA289" s="293" t="s">
        <v>489</v>
      </c>
      <c r="AB289" s="341" t="s">
        <v>439</v>
      </c>
      <c r="AC289" s="341">
        <v>3</v>
      </c>
      <c r="AD289" s="341" t="s">
        <v>440</v>
      </c>
      <c r="AE289" s="301">
        <v>2</v>
      </c>
      <c r="AF289" s="349" t="s">
        <v>455</v>
      </c>
    </row>
    <row r="290" spans="8:32">
      <c r="H290" s="344" t="s">
        <v>284</v>
      </c>
      <c r="I290" s="341" t="s">
        <v>451</v>
      </c>
      <c r="J290" s="341" t="s">
        <v>457</v>
      </c>
      <c r="K290" s="341" t="s">
        <v>461</v>
      </c>
      <c r="L290" s="341" t="s">
        <v>458</v>
      </c>
      <c r="M290" s="341" t="s">
        <v>445</v>
      </c>
      <c r="N290" s="341">
        <v>0.15</v>
      </c>
      <c r="O290" s="341" t="s">
        <v>443</v>
      </c>
      <c r="P290" s="341">
        <v>20</v>
      </c>
      <c r="Q290" s="341" t="s">
        <v>435</v>
      </c>
      <c r="R290" s="341">
        <v>20</v>
      </c>
      <c r="S290" s="341">
        <v>1</v>
      </c>
      <c r="T290" s="341" t="s">
        <v>440</v>
      </c>
      <c r="U290" s="341">
        <v>1</v>
      </c>
      <c r="V290" s="341" t="s">
        <v>478</v>
      </c>
      <c r="W290" s="341" t="s">
        <v>488</v>
      </c>
      <c r="X290" s="293" t="s">
        <v>491</v>
      </c>
      <c r="Y290" s="293" t="s">
        <v>490</v>
      </c>
      <c r="Z290" s="293">
        <v>5</v>
      </c>
      <c r="AA290" s="293" t="s">
        <v>489</v>
      </c>
      <c r="AB290" s="341" t="s">
        <v>439</v>
      </c>
      <c r="AC290" s="341">
        <v>3</v>
      </c>
      <c r="AD290" s="341" t="s">
        <v>440</v>
      </c>
      <c r="AE290" s="301">
        <v>2</v>
      </c>
      <c r="AF290" s="349" t="s">
        <v>455</v>
      </c>
    </row>
    <row r="291" spans="8:32">
      <c r="H291" s="344" t="s">
        <v>283</v>
      </c>
      <c r="I291" s="341" t="s">
        <v>451</v>
      </c>
      <c r="J291" s="341" t="s">
        <v>457</v>
      </c>
      <c r="K291" s="341" t="s">
        <v>461</v>
      </c>
      <c r="L291" s="341" t="s">
        <v>458</v>
      </c>
      <c r="M291" s="341" t="s">
        <v>445</v>
      </c>
      <c r="N291" s="341">
        <v>0.15</v>
      </c>
      <c r="O291" s="341" t="s">
        <v>443</v>
      </c>
      <c r="P291" s="341">
        <v>20</v>
      </c>
      <c r="Q291" s="341" t="s">
        <v>435</v>
      </c>
      <c r="R291" s="341">
        <v>20</v>
      </c>
      <c r="S291" s="341">
        <v>1</v>
      </c>
      <c r="T291" s="341" t="s">
        <v>438</v>
      </c>
      <c r="U291" s="341">
        <v>1</v>
      </c>
      <c r="V291" s="341" t="s">
        <v>540</v>
      </c>
      <c r="W291" s="341" t="s">
        <v>541</v>
      </c>
      <c r="X291" s="341" t="s">
        <v>542</v>
      </c>
      <c r="Y291" s="341" t="s">
        <v>490</v>
      </c>
      <c r="Z291" s="293" t="s">
        <v>542</v>
      </c>
      <c r="AA291" s="293" t="s">
        <v>543</v>
      </c>
      <c r="AB291" s="341" t="s">
        <v>439</v>
      </c>
      <c r="AC291" s="341">
        <v>6</v>
      </c>
      <c r="AD291" s="341" t="s">
        <v>440</v>
      </c>
      <c r="AE291" s="301">
        <v>2</v>
      </c>
      <c r="AF291" s="349" t="s">
        <v>455</v>
      </c>
    </row>
    <row r="292" spans="8:32">
      <c r="H292" s="344" t="s">
        <v>282</v>
      </c>
      <c r="I292" s="341" t="s">
        <v>451</v>
      </c>
      <c r="J292" s="341" t="s">
        <v>457</v>
      </c>
      <c r="K292" s="341" t="s">
        <v>461</v>
      </c>
      <c r="L292" s="341" t="s">
        <v>458</v>
      </c>
      <c r="M292" s="341" t="s">
        <v>445</v>
      </c>
      <c r="N292" s="341">
        <v>0.15</v>
      </c>
      <c r="O292" s="341" t="s">
        <v>443</v>
      </c>
      <c r="P292" s="341">
        <v>20</v>
      </c>
      <c r="Q292" s="341" t="s">
        <v>435</v>
      </c>
      <c r="R292" s="341">
        <v>20</v>
      </c>
      <c r="S292" s="341">
        <v>1</v>
      </c>
      <c r="T292" s="341" t="s">
        <v>438</v>
      </c>
      <c r="U292" s="341">
        <v>1</v>
      </c>
      <c r="V292" s="341" t="s">
        <v>540</v>
      </c>
      <c r="W292" s="341" t="s">
        <v>541</v>
      </c>
      <c r="X292" s="341" t="s">
        <v>542</v>
      </c>
      <c r="Y292" s="341" t="s">
        <v>490</v>
      </c>
      <c r="Z292" s="293" t="s">
        <v>542</v>
      </c>
      <c r="AA292" s="293" t="s">
        <v>543</v>
      </c>
      <c r="AB292" s="341" t="s">
        <v>439</v>
      </c>
      <c r="AC292" s="341">
        <v>6</v>
      </c>
      <c r="AD292" s="341" t="s">
        <v>440</v>
      </c>
      <c r="AE292" s="301">
        <v>2</v>
      </c>
      <c r="AF292" s="349" t="s">
        <v>455</v>
      </c>
    </row>
    <row r="293" spans="8:32">
      <c r="H293" s="344" t="s">
        <v>281</v>
      </c>
      <c r="I293" s="341" t="s">
        <v>451</v>
      </c>
      <c r="J293" s="341" t="s">
        <v>457</v>
      </c>
      <c r="K293" s="341" t="s">
        <v>461</v>
      </c>
      <c r="L293" s="341" t="s">
        <v>458</v>
      </c>
      <c r="M293" s="341" t="s">
        <v>445</v>
      </c>
      <c r="N293" s="341">
        <v>0.15</v>
      </c>
      <c r="O293" s="341" t="s">
        <v>443</v>
      </c>
      <c r="P293" s="341">
        <v>20</v>
      </c>
      <c r="Q293" s="341" t="s">
        <v>435</v>
      </c>
      <c r="R293" s="341">
        <v>20</v>
      </c>
      <c r="S293" s="341">
        <v>1</v>
      </c>
      <c r="T293" s="341" t="s">
        <v>438</v>
      </c>
      <c r="U293" s="341">
        <v>1</v>
      </c>
      <c r="V293" s="341" t="s">
        <v>540</v>
      </c>
      <c r="W293" s="341" t="s">
        <v>541</v>
      </c>
      <c r="X293" s="341" t="s">
        <v>542</v>
      </c>
      <c r="Y293" s="341" t="s">
        <v>490</v>
      </c>
      <c r="Z293" s="293" t="s">
        <v>542</v>
      </c>
      <c r="AA293" s="293" t="s">
        <v>543</v>
      </c>
      <c r="AB293" s="341" t="s">
        <v>439</v>
      </c>
      <c r="AC293" s="341">
        <v>6</v>
      </c>
      <c r="AD293" s="341" t="s">
        <v>440</v>
      </c>
      <c r="AE293" s="301">
        <v>2</v>
      </c>
      <c r="AF293" s="349" t="s">
        <v>455</v>
      </c>
    </row>
    <row r="294" spans="8:32">
      <c r="H294" s="344" t="s">
        <v>280</v>
      </c>
      <c r="I294" s="341" t="s">
        <v>451</v>
      </c>
      <c r="J294" s="341" t="s">
        <v>457</v>
      </c>
      <c r="K294" s="341" t="s">
        <v>461</v>
      </c>
      <c r="L294" s="341" t="s">
        <v>458</v>
      </c>
      <c r="M294" s="341" t="s">
        <v>445</v>
      </c>
      <c r="N294" s="341">
        <v>0.15</v>
      </c>
      <c r="O294" s="341" t="s">
        <v>443</v>
      </c>
      <c r="P294" s="341">
        <v>20</v>
      </c>
      <c r="Q294" s="341" t="s">
        <v>435</v>
      </c>
      <c r="R294" s="341">
        <v>20</v>
      </c>
      <c r="S294" s="341">
        <v>1</v>
      </c>
      <c r="T294" s="341" t="s">
        <v>438</v>
      </c>
      <c r="U294" s="341">
        <v>1</v>
      </c>
      <c r="V294" s="341" t="s">
        <v>540</v>
      </c>
      <c r="W294" s="341" t="s">
        <v>541</v>
      </c>
      <c r="X294" s="341" t="s">
        <v>542</v>
      </c>
      <c r="Y294" s="341" t="s">
        <v>490</v>
      </c>
      <c r="Z294" s="293" t="s">
        <v>542</v>
      </c>
      <c r="AA294" s="293" t="s">
        <v>543</v>
      </c>
      <c r="AB294" s="341" t="s">
        <v>439</v>
      </c>
      <c r="AC294" s="341">
        <v>6</v>
      </c>
      <c r="AD294" s="341" t="s">
        <v>440</v>
      </c>
      <c r="AE294" s="301">
        <v>2</v>
      </c>
      <c r="AF294" s="349" t="s">
        <v>455</v>
      </c>
    </row>
    <row r="295" spans="8:32">
      <c r="H295" s="344" t="s">
        <v>279</v>
      </c>
      <c r="I295" s="341" t="s">
        <v>451</v>
      </c>
      <c r="J295" s="341" t="s">
        <v>457</v>
      </c>
      <c r="K295" s="341" t="s">
        <v>461</v>
      </c>
      <c r="L295" s="341" t="s">
        <v>458</v>
      </c>
      <c r="M295" s="341" t="s">
        <v>445</v>
      </c>
      <c r="N295" s="341">
        <v>0.15</v>
      </c>
      <c r="O295" s="341" t="s">
        <v>443</v>
      </c>
      <c r="P295" s="341">
        <v>20</v>
      </c>
      <c r="Q295" s="341" t="s">
        <v>435</v>
      </c>
      <c r="R295" s="341">
        <v>20</v>
      </c>
      <c r="S295" s="341">
        <v>1</v>
      </c>
      <c r="T295" s="341" t="s">
        <v>438</v>
      </c>
      <c r="U295" s="341">
        <v>1</v>
      </c>
      <c r="V295" s="341" t="s">
        <v>540</v>
      </c>
      <c r="W295" s="341" t="s">
        <v>541</v>
      </c>
      <c r="X295" s="341" t="s">
        <v>542</v>
      </c>
      <c r="Y295" s="341" t="s">
        <v>490</v>
      </c>
      <c r="Z295" s="293" t="s">
        <v>542</v>
      </c>
      <c r="AA295" s="293" t="s">
        <v>543</v>
      </c>
      <c r="AB295" s="341" t="s">
        <v>439</v>
      </c>
      <c r="AC295" s="341">
        <v>6</v>
      </c>
      <c r="AD295" s="341" t="s">
        <v>440</v>
      </c>
      <c r="AE295" s="301">
        <v>2</v>
      </c>
      <c r="AF295" s="349" t="s">
        <v>455</v>
      </c>
    </row>
    <row r="296" spans="8:32">
      <c r="H296" s="344" t="s">
        <v>278</v>
      </c>
      <c r="I296" s="341" t="s">
        <v>451</v>
      </c>
      <c r="J296" s="341" t="s">
        <v>457</v>
      </c>
      <c r="K296" s="341" t="s">
        <v>461</v>
      </c>
      <c r="L296" s="341" t="s">
        <v>458</v>
      </c>
      <c r="M296" s="341" t="s">
        <v>445</v>
      </c>
      <c r="N296" s="341">
        <v>0.15</v>
      </c>
      <c r="O296" s="341" t="s">
        <v>443</v>
      </c>
      <c r="P296" s="341">
        <v>20</v>
      </c>
      <c r="Q296" s="341" t="s">
        <v>435</v>
      </c>
      <c r="R296" s="341">
        <v>20</v>
      </c>
      <c r="S296" s="341">
        <v>1</v>
      </c>
      <c r="T296" s="341" t="s">
        <v>438</v>
      </c>
      <c r="U296" s="341">
        <v>1</v>
      </c>
      <c r="V296" s="341" t="s">
        <v>540</v>
      </c>
      <c r="W296" s="341" t="s">
        <v>541</v>
      </c>
      <c r="X296" s="341" t="s">
        <v>542</v>
      </c>
      <c r="Y296" s="341" t="s">
        <v>490</v>
      </c>
      <c r="Z296" s="293" t="s">
        <v>542</v>
      </c>
      <c r="AA296" s="293" t="s">
        <v>543</v>
      </c>
      <c r="AB296" s="341" t="s">
        <v>439</v>
      </c>
      <c r="AC296" s="341">
        <v>6</v>
      </c>
      <c r="AD296" s="341" t="s">
        <v>440</v>
      </c>
      <c r="AE296" s="301">
        <v>2</v>
      </c>
      <c r="AF296" s="349" t="s">
        <v>455</v>
      </c>
    </row>
    <row r="297" spans="8:32">
      <c r="H297" s="340" t="s">
        <v>312</v>
      </c>
      <c r="I297" s="341" t="s">
        <v>451</v>
      </c>
      <c r="J297" s="341" t="s">
        <v>459</v>
      </c>
      <c r="K297" s="341" t="s">
        <v>460</v>
      </c>
      <c r="L297" s="341" t="s">
        <v>458</v>
      </c>
      <c r="M297" s="341" t="s">
        <v>445</v>
      </c>
      <c r="N297" s="341">
        <v>0.15</v>
      </c>
      <c r="O297" s="341" t="s">
        <v>443</v>
      </c>
      <c r="P297" s="341">
        <v>20</v>
      </c>
      <c r="Q297" s="341" t="s">
        <v>435</v>
      </c>
      <c r="R297" s="341">
        <v>20</v>
      </c>
      <c r="S297" s="341">
        <v>1</v>
      </c>
      <c r="T297" s="341" t="s">
        <v>440</v>
      </c>
      <c r="U297" s="341">
        <v>1</v>
      </c>
      <c r="V297" s="341" t="s">
        <v>478</v>
      </c>
      <c r="W297" s="341" t="s">
        <v>488</v>
      </c>
      <c r="X297" s="293" t="s">
        <v>491</v>
      </c>
      <c r="Y297" s="293" t="s">
        <v>490</v>
      </c>
      <c r="Z297" s="293">
        <v>5</v>
      </c>
      <c r="AA297" s="293" t="s">
        <v>489</v>
      </c>
      <c r="AB297" s="341" t="s">
        <v>439</v>
      </c>
      <c r="AC297" s="341">
        <v>2</v>
      </c>
      <c r="AD297" s="341" t="s">
        <v>440</v>
      </c>
      <c r="AE297" s="301">
        <v>2</v>
      </c>
      <c r="AF297" s="349" t="s">
        <v>455</v>
      </c>
    </row>
    <row r="298" spans="8:32">
      <c r="H298" s="340" t="s">
        <v>126</v>
      </c>
      <c r="I298" s="341" t="s">
        <v>451</v>
      </c>
      <c r="J298" s="341" t="s">
        <v>459</v>
      </c>
      <c r="K298" s="341" t="s">
        <v>460</v>
      </c>
      <c r="L298" s="341" t="s">
        <v>458</v>
      </c>
      <c r="M298" s="341" t="s">
        <v>445</v>
      </c>
      <c r="N298" s="341">
        <v>0.15</v>
      </c>
      <c r="O298" s="341" t="s">
        <v>443</v>
      </c>
      <c r="P298" s="341">
        <v>20</v>
      </c>
      <c r="Q298" s="341" t="s">
        <v>435</v>
      </c>
      <c r="R298" s="341">
        <v>20</v>
      </c>
      <c r="S298" s="341">
        <v>1</v>
      </c>
      <c r="T298" s="341" t="s">
        <v>440</v>
      </c>
      <c r="U298" s="341">
        <v>1</v>
      </c>
      <c r="V298" s="341" t="s">
        <v>478</v>
      </c>
      <c r="W298" s="341" t="s">
        <v>488</v>
      </c>
      <c r="X298" s="293" t="s">
        <v>491</v>
      </c>
      <c r="Y298" s="293" t="s">
        <v>490</v>
      </c>
      <c r="Z298" s="293">
        <v>5</v>
      </c>
      <c r="AA298" s="293" t="s">
        <v>489</v>
      </c>
      <c r="AB298" s="341" t="s">
        <v>439</v>
      </c>
      <c r="AC298" s="341">
        <v>2</v>
      </c>
      <c r="AD298" s="341" t="s">
        <v>440</v>
      </c>
      <c r="AE298" s="301">
        <v>2</v>
      </c>
      <c r="AF298" s="349" t="s">
        <v>455</v>
      </c>
    </row>
    <row r="299" spans="8:32">
      <c r="H299" s="340" t="s">
        <v>127</v>
      </c>
      <c r="I299" s="341" t="s">
        <v>451</v>
      </c>
      <c r="J299" s="341" t="s">
        <v>459</v>
      </c>
      <c r="K299" s="341" t="s">
        <v>460</v>
      </c>
      <c r="L299" s="341" t="s">
        <v>458</v>
      </c>
      <c r="M299" s="341" t="s">
        <v>445</v>
      </c>
      <c r="N299" s="341">
        <v>0.15</v>
      </c>
      <c r="O299" s="341" t="s">
        <v>443</v>
      </c>
      <c r="P299" s="341">
        <v>20</v>
      </c>
      <c r="Q299" s="341" t="s">
        <v>435</v>
      </c>
      <c r="R299" s="341">
        <v>20</v>
      </c>
      <c r="S299" s="341">
        <v>1</v>
      </c>
      <c r="T299" s="341" t="s">
        <v>440</v>
      </c>
      <c r="U299" s="341">
        <v>1</v>
      </c>
      <c r="V299" s="341" t="s">
        <v>478</v>
      </c>
      <c r="W299" s="341" t="s">
        <v>488</v>
      </c>
      <c r="X299" s="293" t="s">
        <v>491</v>
      </c>
      <c r="Y299" s="293" t="s">
        <v>490</v>
      </c>
      <c r="Z299" s="293">
        <v>5</v>
      </c>
      <c r="AA299" s="293" t="s">
        <v>489</v>
      </c>
      <c r="AB299" s="341" t="s">
        <v>439</v>
      </c>
      <c r="AC299" s="341">
        <v>2</v>
      </c>
      <c r="AD299" s="341" t="s">
        <v>440</v>
      </c>
      <c r="AE299" s="301">
        <v>2</v>
      </c>
      <c r="AF299" s="349" t="s">
        <v>455</v>
      </c>
    </row>
    <row r="300" spans="8:32">
      <c r="H300" s="340" t="s">
        <v>128</v>
      </c>
      <c r="I300" s="341" t="s">
        <v>451</v>
      </c>
      <c r="J300" s="341" t="s">
        <v>459</v>
      </c>
      <c r="K300" s="341" t="s">
        <v>460</v>
      </c>
      <c r="L300" s="341" t="s">
        <v>458</v>
      </c>
      <c r="M300" s="341" t="s">
        <v>445</v>
      </c>
      <c r="N300" s="341">
        <v>0.15</v>
      </c>
      <c r="O300" s="341" t="s">
        <v>443</v>
      </c>
      <c r="P300" s="341">
        <v>20</v>
      </c>
      <c r="Q300" s="341" t="s">
        <v>435</v>
      </c>
      <c r="R300" s="341">
        <v>20</v>
      </c>
      <c r="S300" s="341">
        <v>1</v>
      </c>
      <c r="T300" s="341" t="s">
        <v>440</v>
      </c>
      <c r="U300" s="341">
        <v>1</v>
      </c>
      <c r="V300" s="341" t="s">
        <v>478</v>
      </c>
      <c r="W300" s="341" t="s">
        <v>488</v>
      </c>
      <c r="X300" s="293" t="s">
        <v>491</v>
      </c>
      <c r="Y300" s="293" t="s">
        <v>490</v>
      </c>
      <c r="Z300" s="293">
        <v>5</v>
      </c>
      <c r="AA300" s="293" t="s">
        <v>489</v>
      </c>
      <c r="AB300" s="341" t="s">
        <v>439</v>
      </c>
      <c r="AC300" s="341">
        <v>2</v>
      </c>
      <c r="AD300" s="341" t="s">
        <v>440</v>
      </c>
      <c r="AE300" s="301">
        <v>2</v>
      </c>
      <c r="AF300" s="349" t="s">
        <v>455</v>
      </c>
    </row>
    <row r="301" spans="8:32">
      <c r="H301" s="340" t="s">
        <v>129</v>
      </c>
      <c r="I301" s="341" t="s">
        <v>451</v>
      </c>
      <c r="J301" s="341" t="s">
        <v>459</v>
      </c>
      <c r="K301" s="341" t="s">
        <v>460</v>
      </c>
      <c r="L301" s="341" t="s">
        <v>458</v>
      </c>
      <c r="M301" s="341" t="s">
        <v>445</v>
      </c>
      <c r="N301" s="341">
        <v>0.15</v>
      </c>
      <c r="O301" s="341" t="s">
        <v>443</v>
      </c>
      <c r="P301" s="341">
        <v>20</v>
      </c>
      <c r="Q301" s="341" t="s">
        <v>435</v>
      </c>
      <c r="R301" s="341">
        <v>20</v>
      </c>
      <c r="S301" s="341">
        <v>1</v>
      </c>
      <c r="T301" s="341" t="s">
        <v>440</v>
      </c>
      <c r="U301" s="341">
        <v>1</v>
      </c>
      <c r="V301" s="341" t="s">
        <v>478</v>
      </c>
      <c r="W301" s="341" t="s">
        <v>488</v>
      </c>
      <c r="X301" s="293" t="s">
        <v>491</v>
      </c>
      <c r="Y301" s="293" t="s">
        <v>490</v>
      </c>
      <c r="Z301" s="293">
        <v>5</v>
      </c>
      <c r="AA301" s="293" t="s">
        <v>489</v>
      </c>
      <c r="AB301" s="341" t="s">
        <v>439</v>
      </c>
      <c r="AC301" s="341">
        <v>2</v>
      </c>
      <c r="AD301" s="341" t="s">
        <v>440</v>
      </c>
      <c r="AE301" s="301">
        <v>2</v>
      </c>
      <c r="AF301" s="349" t="s">
        <v>455</v>
      </c>
    </row>
    <row r="302" spans="8:32">
      <c r="H302" s="340" t="s">
        <v>130</v>
      </c>
      <c r="I302" s="341" t="s">
        <v>451</v>
      </c>
      <c r="J302" s="341" t="s">
        <v>459</v>
      </c>
      <c r="K302" s="341" t="s">
        <v>460</v>
      </c>
      <c r="L302" s="341" t="s">
        <v>458</v>
      </c>
      <c r="M302" s="341" t="s">
        <v>445</v>
      </c>
      <c r="N302" s="341">
        <v>0.15</v>
      </c>
      <c r="O302" s="341" t="s">
        <v>443</v>
      </c>
      <c r="P302" s="341">
        <v>20</v>
      </c>
      <c r="Q302" s="341" t="s">
        <v>435</v>
      </c>
      <c r="R302" s="341">
        <v>20</v>
      </c>
      <c r="S302" s="341">
        <v>1</v>
      </c>
      <c r="T302" s="341" t="s">
        <v>440</v>
      </c>
      <c r="U302" s="341">
        <v>1</v>
      </c>
      <c r="V302" s="341" t="s">
        <v>478</v>
      </c>
      <c r="W302" s="341" t="s">
        <v>488</v>
      </c>
      <c r="X302" s="293" t="s">
        <v>491</v>
      </c>
      <c r="Y302" s="293" t="s">
        <v>490</v>
      </c>
      <c r="Z302" s="293">
        <v>5</v>
      </c>
      <c r="AA302" s="293" t="s">
        <v>489</v>
      </c>
      <c r="AB302" s="341" t="s">
        <v>439</v>
      </c>
      <c r="AC302" s="341">
        <v>2</v>
      </c>
      <c r="AD302" s="341" t="s">
        <v>440</v>
      </c>
      <c r="AE302" s="301">
        <v>2</v>
      </c>
      <c r="AF302" s="349" t="s">
        <v>455</v>
      </c>
    </row>
    <row r="303" spans="8:32">
      <c r="H303" s="340" t="s">
        <v>131</v>
      </c>
      <c r="I303" s="341" t="s">
        <v>451</v>
      </c>
      <c r="J303" s="341" t="s">
        <v>459</v>
      </c>
      <c r="K303" s="341" t="s">
        <v>460</v>
      </c>
      <c r="L303" s="341" t="s">
        <v>458</v>
      </c>
      <c r="M303" s="341" t="s">
        <v>445</v>
      </c>
      <c r="N303" s="341">
        <v>0.15</v>
      </c>
      <c r="O303" s="341" t="s">
        <v>443</v>
      </c>
      <c r="P303" s="341">
        <v>20</v>
      </c>
      <c r="Q303" s="341" t="s">
        <v>435</v>
      </c>
      <c r="R303" s="341">
        <v>20</v>
      </c>
      <c r="S303" s="341">
        <v>1</v>
      </c>
      <c r="T303" s="341" t="s">
        <v>440</v>
      </c>
      <c r="U303" s="341">
        <v>1</v>
      </c>
      <c r="V303" s="341" t="s">
        <v>478</v>
      </c>
      <c r="W303" s="341" t="s">
        <v>488</v>
      </c>
      <c r="X303" s="293" t="s">
        <v>491</v>
      </c>
      <c r="Y303" s="293" t="s">
        <v>490</v>
      </c>
      <c r="Z303" s="293">
        <v>5</v>
      </c>
      <c r="AA303" s="293" t="s">
        <v>489</v>
      </c>
      <c r="AB303" s="341" t="s">
        <v>439</v>
      </c>
      <c r="AC303" s="341">
        <v>2</v>
      </c>
      <c r="AD303" s="341" t="s">
        <v>440</v>
      </c>
      <c r="AE303" s="301">
        <v>2</v>
      </c>
      <c r="AF303" s="349" t="s">
        <v>455</v>
      </c>
    </row>
    <row r="304" spans="8:32">
      <c r="H304" s="340" t="s">
        <v>132</v>
      </c>
      <c r="I304" s="341" t="s">
        <v>451</v>
      </c>
      <c r="J304" s="341" t="s">
        <v>459</v>
      </c>
      <c r="K304" s="341" t="s">
        <v>460</v>
      </c>
      <c r="L304" s="341" t="s">
        <v>458</v>
      </c>
      <c r="M304" s="341" t="s">
        <v>445</v>
      </c>
      <c r="N304" s="341">
        <v>0.15</v>
      </c>
      <c r="O304" s="341" t="s">
        <v>443</v>
      </c>
      <c r="P304" s="341">
        <v>20</v>
      </c>
      <c r="Q304" s="341" t="s">
        <v>435</v>
      </c>
      <c r="R304" s="341">
        <v>20</v>
      </c>
      <c r="S304" s="341">
        <v>1</v>
      </c>
      <c r="T304" s="341" t="s">
        <v>440</v>
      </c>
      <c r="U304" s="341">
        <v>1</v>
      </c>
      <c r="V304" s="341" t="s">
        <v>478</v>
      </c>
      <c r="W304" s="341" t="s">
        <v>488</v>
      </c>
      <c r="X304" s="293" t="s">
        <v>491</v>
      </c>
      <c r="Y304" s="293" t="s">
        <v>490</v>
      </c>
      <c r="Z304" s="293">
        <v>5</v>
      </c>
      <c r="AA304" s="293" t="s">
        <v>489</v>
      </c>
      <c r="AB304" s="341" t="s">
        <v>439</v>
      </c>
      <c r="AC304" s="341">
        <v>3</v>
      </c>
      <c r="AD304" s="341" t="s">
        <v>440</v>
      </c>
      <c r="AE304" s="301">
        <v>2</v>
      </c>
      <c r="AF304" s="349" t="s">
        <v>455</v>
      </c>
    </row>
    <row r="305" spans="8:32">
      <c r="H305" s="340" t="s">
        <v>133</v>
      </c>
      <c r="I305" s="341" t="s">
        <v>451</v>
      </c>
      <c r="J305" s="341" t="s">
        <v>459</v>
      </c>
      <c r="K305" s="341" t="s">
        <v>460</v>
      </c>
      <c r="L305" s="341" t="s">
        <v>458</v>
      </c>
      <c r="M305" s="341" t="s">
        <v>445</v>
      </c>
      <c r="N305" s="341">
        <v>0.15</v>
      </c>
      <c r="O305" s="341" t="s">
        <v>443</v>
      </c>
      <c r="P305" s="341">
        <v>20</v>
      </c>
      <c r="Q305" s="341" t="s">
        <v>435</v>
      </c>
      <c r="R305" s="341">
        <v>20</v>
      </c>
      <c r="S305" s="341">
        <v>1</v>
      </c>
      <c r="T305" s="341" t="s">
        <v>440</v>
      </c>
      <c r="U305" s="341">
        <v>1</v>
      </c>
      <c r="V305" s="341" t="s">
        <v>478</v>
      </c>
      <c r="W305" s="341" t="s">
        <v>488</v>
      </c>
      <c r="X305" s="293" t="s">
        <v>491</v>
      </c>
      <c r="Y305" s="293" t="s">
        <v>490</v>
      </c>
      <c r="Z305" s="293">
        <v>5</v>
      </c>
      <c r="AA305" s="293" t="s">
        <v>489</v>
      </c>
      <c r="AB305" s="341" t="s">
        <v>439</v>
      </c>
      <c r="AC305" s="341">
        <v>3</v>
      </c>
      <c r="AD305" s="341" t="s">
        <v>440</v>
      </c>
      <c r="AE305" s="301">
        <v>2</v>
      </c>
      <c r="AF305" s="349" t="s">
        <v>455</v>
      </c>
    </row>
    <row r="306" spans="8:32">
      <c r="H306" s="340" t="s">
        <v>134</v>
      </c>
      <c r="I306" s="341" t="s">
        <v>451</v>
      </c>
      <c r="J306" s="341" t="s">
        <v>459</v>
      </c>
      <c r="K306" s="341" t="s">
        <v>460</v>
      </c>
      <c r="L306" s="341" t="s">
        <v>458</v>
      </c>
      <c r="M306" s="341" t="s">
        <v>445</v>
      </c>
      <c r="N306" s="341">
        <v>0.15</v>
      </c>
      <c r="O306" s="341" t="s">
        <v>443</v>
      </c>
      <c r="P306" s="341">
        <v>20</v>
      </c>
      <c r="Q306" s="341" t="s">
        <v>435</v>
      </c>
      <c r="R306" s="341">
        <v>20</v>
      </c>
      <c r="S306" s="341">
        <v>1</v>
      </c>
      <c r="T306" s="341" t="s">
        <v>440</v>
      </c>
      <c r="U306" s="341">
        <v>1</v>
      </c>
      <c r="V306" s="341" t="s">
        <v>478</v>
      </c>
      <c r="W306" s="341" t="s">
        <v>488</v>
      </c>
      <c r="X306" s="293" t="s">
        <v>491</v>
      </c>
      <c r="Y306" s="293" t="s">
        <v>490</v>
      </c>
      <c r="Z306" s="293">
        <v>5</v>
      </c>
      <c r="AA306" s="293" t="s">
        <v>489</v>
      </c>
      <c r="AB306" s="341" t="s">
        <v>439</v>
      </c>
      <c r="AC306" s="341">
        <v>3</v>
      </c>
      <c r="AD306" s="341" t="s">
        <v>440</v>
      </c>
      <c r="AE306" s="301">
        <v>2</v>
      </c>
      <c r="AF306" s="349" t="s">
        <v>455</v>
      </c>
    </row>
    <row r="307" spans="8:32">
      <c r="H307" s="340" t="s">
        <v>135</v>
      </c>
      <c r="I307" s="341" t="s">
        <v>451</v>
      </c>
      <c r="J307" s="341" t="s">
        <v>459</v>
      </c>
      <c r="K307" s="341" t="s">
        <v>460</v>
      </c>
      <c r="L307" s="341" t="s">
        <v>458</v>
      </c>
      <c r="M307" s="341" t="s">
        <v>445</v>
      </c>
      <c r="N307" s="341">
        <v>0.15</v>
      </c>
      <c r="O307" s="341" t="s">
        <v>443</v>
      </c>
      <c r="P307" s="341">
        <v>20</v>
      </c>
      <c r="Q307" s="341" t="s">
        <v>435</v>
      </c>
      <c r="R307" s="341">
        <v>20</v>
      </c>
      <c r="S307" s="341">
        <v>1</v>
      </c>
      <c r="T307" s="341" t="s">
        <v>440</v>
      </c>
      <c r="U307" s="341">
        <v>1</v>
      </c>
      <c r="V307" s="341" t="s">
        <v>478</v>
      </c>
      <c r="W307" s="341" t="s">
        <v>488</v>
      </c>
      <c r="X307" s="293" t="s">
        <v>491</v>
      </c>
      <c r="Y307" s="293" t="s">
        <v>490</v>
      </c>
      <c r="Z307" s="293">
        <v>5</v>
      </c>
      <c r="AA307" s="293" t="s">
        <v>489</v>
      </c>
      <c r="AB307" s="341" t="s">
        <v>439</v>
      </c>
      <c r="AC307" s="341">
        <v>3</v>
      </c>
      <c r="AD307" s="341" t="s">
        <v>440</v>
      </c>
      <c r="AE307" s="301">
        <v>2</v>
      </c>
      <c r="AF307" s="349" t="s">
        <v>455</v>
      </c>
    </row>
    <row r="308" spans="8:32">
      <c r="H308" s="340" t="s">
        <v>136</v>
      </c>
      <c r="I308" s="341" t="s">
        <v>451</v>
      </c>
      <c r="J308" s="341" t="s">
        <v>459</v>
      </c>
      <c r="K308" s="341" t="s">
        <v>460</v>
      </c>
      <c r="L308" s="341" t="s">
        <v>458</v>
      </c>
      <c r="M308" s="341" t="s">
        <v>445</v>
      </c>
      <c r="N308" s="341">
        <v>0.15</v>
      </c>
      <c r="O308" s="341" t="s">
        <v>443</v>
      </c>
      <c r="P308" s="341">
        <v>20</v>
      </c>
      <c r="Q308" s="341" t="s">
        <v>435</v>
      </c>
      <c r="R308" s="341">
        <v>20</v>
      </c>
      <c r="S308" s="341">
        <v>1</v>
      </c>
      <c r="T308" s="341" t="s">
        <v>440</v>
      </c>
      <c r="U308" s="341">
        <v>1</v>
      </c>
      <c r="V308" s="341" t="s">
        <v>478</v>
      </c>
      <c r="W308" s="341" t="s">
        <v>488</v>
      </c>
      <c r="X308" s="293" t="s">
        <v>491</v>
      </c>
      <c r="Y308" s="293" t="s">
        <v>490</v>
      </c>
      <c r="Z308" s="293">
        <v>5</v>
      </c>
      <c r="AA308" s="293" t="s">
        <v>489</v>
      </c>
      <c r="AB308" s="341" t="s">
        <v>439</v>
      </c>
      <c r="AC308" s="341">
        <v>3</v>
      </c>
      <c r="AD308" s="341" t="s">
        <v>440</v>
      </c>
      <c r="AE308" s="301">
        <v>2</v>
      </c>
      <c r="AF308" s="349" t="s">
        <v>455</v>
      </c>
    </row>
    <row r="309" spans="8:32">
      <c r="H309" s="340" t="s">
        <v>137</v>
      </c>
      <c r="I309" s="341" t="s">
        <v>451</v>
      </c>
      <c r="J309" s="341" t="s">
        <v>459</v>
      </c>
      <c r="K309" s="341" t="s">
        <v>460</v>
      </c>
      <c r="L309" s="341" t="s">
        <v>458</v>
      </c>
      <c r="M309" s="341" t="s">
        <v>445</v>
      </c>
      <c r="N309" s="341">
        <v>0.15</v>
      </c>
      <c r="O309" s="341" t="s">
        <v>443</v>
      </c>
      <c r="P309" s="341">
        <v>20</v>
      </c>
      <c r="Q309" s="341" t="s">
        <v>435</v>
      </c>
      <c r="R309" s="341">
        <v>20</v>
      </c>
      <c r="S309" s="341">
        <v>1</v>
      </c>
      <c r="T309" s="341" t="s">
        <v>440</v>
      </c>
      <c r="U309" s="341">
        <v>1</v>
      </c>
      <c r="V309" s="341" t="s">
        <v>478</v>
      </c>
      <c r="W309" s="341" t="s">
        <v>488</v>
      </c>
      <c r="X309" s="293" t="s">
        <v>491</v>
      </c>
      <c r="Y309" s="293" t="s">
        <v>490</v>
      </c>
      <c r="Z309" s="293">
        <v>5</v>
      </c>
      <c r="AA309" s="293" t="s">
        <v>489</v>
      </c>
      <c r="AB309" s="341" t="s">
        <v>439</v>
      </c>
      <c r="AC309" s="341">
        <v>3</v>
      </c>
      <c r="AD309" s="341" t="s">
        <v>440</v>
      </c>
      <c r="AE309" s="301">
        <v>2</v>
      </c>
      <c r="AF309" s="349" t="s">
        <v>455</v>
      </c>
    </row>
    <row r="310" spans="8:32">
      <c r="H310" s="340" t="s">
        <v>311</v>
      </c>
      <c r="I310" s="341" t="s">
        <v>451</v>
      </c>
      <c r="J310" s="341" t="s">
        <v>459</v>
      </c>
      <c r="K310" s="341" t="s">
        <v>460</v>
      </c>
      <c r="L310" s="341" t="s">
        <v>458</v>
      </c>
      <c r="M310" s="341" t="s">
        <v>445</v>
      </c>
      <c r="N310" s="341">
        <v>0.15</v>
      </c>
      <c r="O310" s="341" t="s">
        <v>443</v>
      </c>
      <c r="P310" s="341">
        <v>20</v>
      </c>
      <c r="Q310" s="341" t="s">
        <v>435</v>
      </c>
      <c r="R310" s="341">
        <v>20</v>
      </c>
      <c r="S310" s="341">
        <v>1</v>
      </c>
      <c r="T310" s="341" t="s">
        <v>440</v>
      </c>
      <c r="U310" s="341">
        <v>1</v>
      </c>
      <c r="V310" s="341" t="s">
        <v>478</v>
      </c>
      <c r="W310" s="341" t="s">
        <v>488</v>
      </c>
      <c r="X310" s="293" t="s">
        <v>491</v>
      </c>
      <c r="Y310" s="293" t="s">
        <v>490</v>
      </c>
      <c r="Z310" s="293">
        <v>5</v>
      </c>
      <c r="AA310" s="293" t="s">
        <v>489</v>
      </c>
      <c r="AB310" s="341" t="s">
        <v>439</v>
      </c>
      <c r="AC310" s="341">
        <v>3</v>
      </c>
      <c r="AD310" s="341" t="s">
        <v>440</v>
      </c>
      <c r="AE310" s="301">
        <v>2</v>
      </c>
      <c r="AF310" s="349" t="s">
        <v>455</v>
      </c>
    </row>
    <row r="311" spans="8:32">
      <c r="H311" s="340" t="s">
        <v>138</v>
      </c>
      <c r="I311" s="341" t="s">
        <v>451</v>
      </c>
      <c r="J311" s="341" t="s">
        <v>459</v>
      </c>
      <c r="K311" s="341" t="s">
        <v>460</v>
      </c>
      <c r="L311" s="341" t="s">
        <v>458</v>
      </c>
      <c r="M311" s="341" t="s">
        <v>445</v>
      </c>
      <c r="N311" s="341">
        <v>0.15</v>
      </c>
      <c r="O311" s="341" t="s">
        <v>443</v>
      </c>
      <c r="P311" s="341">
        <v>20</v>
      </c>
      <c r="Q311" s="341" t="s">
        <v>435</v>
      </c>
      <c r="R311" s="341">
        <v>20</v>
      </c>
      <c r="S311" s="341">
        <v>1</v>
      </c>
      <c r="T311" s="341" t="s">
        <v>440</v>
      </c>
      <c r="U311" s="341">
        <v>1</v>
      </c>
      <c r="V311" s="341" t="s">
        <v>478</v>
      </c>
      <c r="W311" s="341" t="s">
        <v>488</v>
      </c>
      <c r="X311" s="293" t="s">
        <v>491</v>
      </c>
      <c r="Y311" s="293" t="s">
        <v>490</v>
      </c>
      <c r="Z311" s="293">
        <v>5</v>
      </c>
      <c r="AA311" s="293" t="s">
        <v>489</v>
      </c>
      <c r="AB311" s="341" t="s">
        <v>439</v>
      </c>
      <c r="AC311" s="341">
        <v>3</v>
      </c>
      <c r="AD311" s="341" t="s">
        <v>440</v>
      </c>
      <c r="AE311" s="301">
        <v>2</v>
      </c>
      <c r="AF311" s="349" t="s">
        <v>455</v>
      </c>
    </row>
    <row r="312" spans="8:32">
      <c r="H312" s="340" t="s">
        <v>86</v>
      </c>
      <c r="I312" s="341" t="s">
        <v>451</v>
      </c>
      <c r="J312" s="341" t="s">
        <v>459</v>
      </c>
      <c r="K312" s="341" t="s">
        <v>460</v>
      </c>
      <c r="L312" s="341" t="s">
        <v>458</v>
      </c>
      <c r="M312" s="341" t="s">
        <v>445</v>
      </c>
      <c r="N312" s="341">
        <v>0.15</v>
      </c>
      <c r="O312" s="341" t="s">
        <v>443</v>
      </c>
      <c r="P312" s="341">
        <v>20</v>
      </c>
      <c r="Q312" s="341" t="s">
        <v>435</v>
      </c>
      <c r="R312" s="341">
        <v>20</v>
      </c>
      <c r="S312" s="341">
        <v>1</v>
      </c>
      <c r="T312" s="341" t="s">
        <v>440</v>
      </c>
      <c r="U312" s="341">
        <v>1</v>
      </c>
      <c r="V312" s="341" t="s">
        <v>478</v>
      </c>
      <c r="W312" s="341" t="s">
        <v>488</v>
      </c>
      <c r="X312" s="293" t="s">
        <v>491</v>
      </c>
      <c r="Y312" s="293" t="s">
        <v>490</v>
      </c>
      <c r="Z312" s="293">
        <v>5</v>
      </c>
      <c r="AA312" s="293" t="s">
        <v>489</v>
      </c>
      <c r="AB312" s="341" t="s">
        <v>439</v>
      </c>
      <c r="AC312" s="341">
        <v>3</v>
      </c>
      <c r="AD312" s="341" t="s">
        <v>440</v>
      </c>
      <c r="AE312" s="301">
        <v>2</v>
      </c>
      <c r="AF312" s="349" t="s">
        <v>455</v>
      </c>
    </row>
    <row r="313" spans="8:32">
      <c r="H313" s="340" t="s">
        <v>87</v>
      </c>
      <c r="I313" s="341" t="s">
        <v>451</v>
      </c>
      <c r="J313" s="341" t="s">
        <v>459</v>
      </c>
      <c r="K313" s="341" t="s">
        <v>460</v>
      </c>
      <c r="L313" s="341" t="s">
        <v>458</v>
      </c>
      <c r="M313" s="341" t="s">
        <v>445</v>
      </c>
      <c r="N313" s="341">
        <v>0.15</v>
      </c>
      <c r="O313" s="341" t="s">
        <v>443</v>
      </c>
      <c r="P313" s="341">
        <v>20</v>
      </c>
      <c r="Q313" s="341" t="s">
        <v>435</v>
      </c>
      <c r="R313" s="341">
        <v>20</v>
      </c>
      <c r="S313" s="341">
        <v>1</v>
      </c>
      <c r="T313" s="341" t="s">
        <v>440</v>
      </c>
      <c r="U313" s="341">
        <v>1</v>
      </c>
      <c r="V313" s="341" t="s">
        <v>478</v>
      </c>
      <c r="W313" s="341" t="s">
        <v>488</v>
      </c>
      <c r="X313" s="293" t="s">
        <v>491</v>
      </c>
      <c r="Y313" s="293" t="s">
        <v>490</v>
      </c>
      <c r="Z313" s="293">
        <v>5</v>
      </c>
      <c r="AA313" s="293" t="s">
        <v>489</v>
      </c>
      <c r="AB313" s="341" t="s">
        <v>439</v>
      </c>
      <c r="AC313" s="341">
        <v>3</v>
      </c>
      <c r="AD313" s="341" t="s">
        <v>440</v>
      </c>
      <c r="AE313" s="301">
        <v>2</v>
      </c>
      <c r="AF313" s="349" t="s">
        <v>455</v>
      </c>
    </row>
    <row r="314" spans="8:32">
      <c r="H314" s="340" t="s">
        <v>88</v>
      </c>
      <c r="I314" s="341" t="s">
        <v>451</v>
      </c>
      <c r="J314" s="341" t="s">
        <v>459</v>
      </c>
      <c r="K314" s="341" t="s">
        <v>460</v>
      </c>
      <c r="L314" s="341" t="s">
        <v>458</v>
      </c>
      <c r="M314" s="341" t="s">
        <v>445</v>
      </c>
      <c r="N314" s="341">
        <v>0.15</v>
      </c>
      <c r="O314" s="341" t="s">
        <v>443</v>
      </c>
      <c r="P314" s="341">
        <v>20</v>
      </c>
      <c r="Q314" s="341" t="s">
        <v>435</v>
      </c>
      <c r="R314" s="341">
        <v>20</v>
      </c>
      <c r="S314" s="341">
        <v>1</v>
      </c>
      <c r="T314" s="341" t="s">
        <v>440</v>
      </c>
      <c r="U314" s="341">
        <v>1</v>
      </c>
      <c r="V314" s="341" t="s">
        <v>478</v>
      </c>
      <c r="W314" s="341" t="s">
        <v>488</v>
      </c>
      <c r="X314" s="293" t="s">
        <v>491</v>
      </c>
      <c r="Y314" s="293" t="s">
        <v>490</v>
      </c>
      <c r="Z314" s="293">
        <v>5</v>
      </c>
      <c r="AA314" s="293" t="s">
        <v>489</v>
      </c>
      <c r="AB314" s="341" t="s">
        <v>439</v>
      </c>
      <c r="AC314" s="341">
        <v>3</v>
      </c>
      <c r="AD314" s="341" t="s">
        <v>440</v>
      </c>
      <c r="AE314" s="301">
        <v>2</v>
      </c>
      <c r="AF314" s="349" t="s">
        <v>455</v>
      </c>
    </row>
    <row r="315" spans="8:32">
      <c r="H315" s="340" t="s">
        <v>139</v>
      </c>
      <c r="I315" s="341" t="s">
        <v>451</v>
      </c>
      <c r="J315" s="341" t="s">
        <v>459</v>
      </c>
      <c r="K315" s="341" t="s">
        <v>460</v>
      </c>
      <c r="L315" s="341" t="s">
        <v>458</v>
      </c>
      <c r="M315" s="341" t="s">
        <v>445</v>
      </c>
      <c r="N315" s="341">
        <v>0.15</v>
      </c>
      <c r="O315" s="341" t="s">
        <v>443</v>
      </c>
      <c r="P315" s="341">
        <v>20</v>
      </c>
      <c r="Q315" s="341" t="s">
        <v>435</v>
      </c>
      <c r="R315" s="341">
        <v>20</v>
      </c>
      <c r="S315" s="341">
        <v>1</v>
      </c>
      <c r="T315" s="341" t="s">
        <v>438</v>
      </c>
      <c r="U315" s="341">
        <v>1</v>
      </c>
      <c r="V315" s="341" t="s">
        <v>540</v>
      </c>
      <c r="W315" s="341" t="s">
        <v>541</v>
      </c>
      <c r="X315" s="341" t="s">
        <v>542</v>
      </c>
      <c r="Y315" s="341" t="s">
        <v>490</v>
      </c>
      <c r="Z315" s="293" t="s">
        <v>542</v>
      </c>
      <c r="AA315" s="293" t="s">
        <v>543</v>
      </c>
      <c r="AB315" s="341" t="s">
        <v>439</v>
      </c>
      <c r="AC315" s="341">
        <v>6</v>
      </c>
      <c r="AD315" s="341" t="s">
        <v>440</v>
      </c>
      <c r="AE315" s="301">
        <v>2</v>
      </c>
      <c r="AF315" s="349" t="s">
        <v>455</v>
      </c>
    </row>
    <row r="316" spans="8:32">
      <c r="H316" s="340" t="s">
        <v>89</v>
      </c>
      <c r="I316" s="341" t="s">
        <v>451</v>
      </c>
      <c r="J316" s="341" t="s">
        <v>459</v>
      </c>
      <c r="K316" s="341" t="s">
        <v>460</v>
      </c>
      <c r="L316" s="341" t="s">
        <v>458</v>
      </c>
      <c r="M316" s="341" t="s">
        <v>445</v>
      </c>
      <c r="N316" s="341">
        <v>0.15</v>
      </c>
      <c r="O316" s="341" t="s">
        <v>443</v>
      </c>
      <c r="P316" s="341">
        <v>20</v>
      </c>
      <c r="Q316" s="341" t="s">
        <v>435</v>
      </c>
      <c r="R316" s="341">
        <v>20</v>
      </c>
      <c r="S316" s="341">
        <v>1</v>
      </c>
      <c r="T316" s="341" t="s">
        <v>438</v>
      </c>
      <c r="U316" s="341">
        <v>1</v>
      </c>
      <c r="V316" s="341" t="s">
        <v>540</v>
      </c>
      <c r="W316" s="341" t="s">
        <v>541</v>
      </c>
      <c r="X316" s="341" t="s">
        <v>542</v>
      </c>
      <c r="Y316" s="341" t="s">
        <v>490</v>
      </c>
      <c r="Z316" s="293" t="s">
        <v>542</v>
      </c>
      <c r="AA316" s="293" t="s">
        <v>543</v>
      </c>
      <c r="AB316" s="341" t="s">
        <v>439</v>
      </c>
      <c r="AC316" s="341">
        <v>6</v>
      </c>
      <c r="AD316" s="341" t="s">
        <v>440</v>
      </c>
      <c r="AE316" s="301">
        <v>2</v>
      </c>
      <c r="AF316" s="349" t="s">
        <v>455</v>
      </c>
    </row>
    <row r="317" spans="8:32">
      <c r="H317" s="340" t="s">
        <v>140</v>
      </c>
      <c r="I317" s="341" t="s">
        <v>451</v>
      </c>
      <c r="J317" s="341" t="s">
        <v>459</v>
      </c>
      <c r="K317" s="341" t="s">
        <v>460</v>
      </c>
      <c r="L317" s="341" t="s">
        <v>458</v>
      </c>
      <c r="M317" s="341" t="s">
        <v>445</v>
      </c>
      <c r="N317" s="341">
        <v>0.15</v>
      </c>
      <c r="O317" s="341" t="s">
        <v>443</v>
      </c>
      <c r="P317" s="341">
        <v>20</v>
      </c>
      <c r="Q317" s="341" t="s">
        <v>435</v>
      </c>
      <c r="R317" s="341">
        <v>20</v>
      </c>
      <c r="S317" s="341">
        <v>1</v>
      </c>
      <c r="T317" s="341" t="s">
        <v>438</v>
      </c>
      <c r="U317" s="341">
        <v>1</v>
      </c>
      <c r="V317" s="341" t="s">
        <v>540</v>
      </c>
      <c r="W317" s="341" t="s">
        <v>541</v>
      </c>
      <c r="X317" s="341" t="s">
        <v>542</v>
      </c>
      <c r="Y317" s="341" t="s">
        <v>490</v>
      </c>
      <c r="Z317" s="293" t="s">
        <v>542</v>
      </c>
      <c r="AA317" s="293" t="s">
        <v>543</v>
      </c>
      <c r="AB317" s="341" t="s">
        <v>439</v>
      </c>
      <c r="AC317" s="341">
        <v>6</v>
      </c>
      <c r="AD317" s="341" t="s">
        <v>440</v>
      </c>
      <c r="AE317" s="301">
        <v>2</v>
      </c>
      <c r="AF317" s="349" t="s">
        <v>455</v>
      </c>
    </row>
    <row r="318" spans="8:32">
      <c r="H318" s="340" t="s">
        <v>141</v>
      </c>
      <c r="I318" s="341" t="s">
        <v>451</v>
      </c>
      <c r="J318" s="341" t="s">
        <v>459</v>
      </c>
      <c r="K318" s="341" t="s">
        <v>460</v>
      </c>
      <c r="L318" s="341" t="s">
        <v>458</v>
      </c>
      <c r="M318" s="341" t="s">
        <v>445</v>
      </c>
      <c r="N318" s="341">
        <v>0.15</v>
      </c>
      <c r="O318" s="341" t="s">
        <v>443</v>
      </c>
      <c r="P318" s="341">
        <v>20</v>
      </c>
      <c r="Q318" s="341" t="s">
        <v>435</v>
      </c>
      <c r="R318" s="341">
        <v>20</v>
      </c>
      <c r="S318" s="341">
        <v>1</v>
      </c>
      <c r="T318" s="341" t="s">
        <v>438</v>
      </c>
      <c r="U318" s="341">
        <v>1</v>
      </c>
      <c r="V318" s="341" t="s">
        <v>540</v>
      </c>
      <c r="W318" s="341" t="s">
        <v>541</v>
      </c>
      <c r="X318" s="341" t="s">
        <v>542</v>
      </c>
      <c r="Y318" s="341" t="s">
        <v>490</v>
      </c>
      <c r="Z318" s="293" t="s">
        <v>542</v>
      </c>
      <c r="AA318" s="293" t="s">
        <v>543</v>
      </c>
      <c r="AB318" s="341" t="s">
        <v>439</v>
      </c>
      <c r="AC318" s="341">
        <v>6</v>
      </c>
      <c r="AD318" s="341" t="s">
        <v>440</v>
      </c>
      <c r="AE318" s="301">
        <v>2</v>
      </c>
      <c r="AF318" s="349" t="s">
        <v>455</v>
      </c>
    </row>
    <row r="319" spans="8:32">
      <c r="H319" s="340" t="s">
        <v>142</v>
      </c>
      <c r="I319" s="341" t="s">
        <v>451</v>
      </c>
      <c r="J319" s="341" t="s">
        <v>459</v>
      </c>
      <c r="K319" s="341" t="s">
        <v>460</v>
      </c>
      <c r="L319" s="341" t="s">
        <v>458</v>
      </c>
      <c r="M319" s="341" t="s">
        <v>445</v>
      </c>
      <c r="N319" s="341">
        <v>0.15</v>
      </c>
      <c r="O319" s="341" t="s">
        <v>443</v>
      </c>
      <c r="P319" s="341">
        <v>20</v>
      </c>
      <c r="Q319" s="341" t="s">
        <v>435</v>
      </c>
      <c r="R319" s="341">
        <v>20</v>
      </c>
      <c r="S319" s="341">
        <v>1</v>
      </c>
      <c r="T319" s="341" t="s">
        <v>438</v>
      </c>
      <c r="U319" s="341">
        <v>1</v>
      </c>
      <c r="V319" s="341" t="s">
        <v>540</v>
      </c>
      <c r="W319" s="341" t="s">
        <v>541</v>
      </c>
      <c r="X319" s="341" t="s">
        <v>542</v>
      </c>
      <c r="Y319" s="341" t="s">
        <v>490</v>
      </c>
      <c r="Z319" s="293" t="s">
        <v>542</v>
      </c>
      <c r="AA319" s="293" t="s">
        <v>543</v>
      </c>
      <c r="AB319" s="341" t="s">
        <v>439</v>
      </c>
      <c r="AC319" s="341">
        <v>6</v>
      </c>
      <c r="AD319" s="341" t="s">
        <v>440</v>
      </c>
      <c r="AE319" s="301">
        <v>2</v>
      </c>
      <c r="AF319" s="349" t="s">
        <v>455</v>
      </c>
    </row>
    <row r="320" spans="8:32">
      <c r="H320" s="340" t="s">
        <v>143</v>
      </c>
      <c r="I320" s="341" t="s">
        <v>451</v>
      </c>
      <c r="J320" s="341" t="s">
        <v>459</v>
      </c>
      <c r="K320" s="341" t="s">
        <v>460</v>
      </c>
      <c r="L320" s="341" t="s">
        <v>458</v>
      </c>
      <c r="M320" s="341" t="s">
        <v>445</v>
      </c>
      <c r="N320" s="341">
        <v>0.15</v>
      </c>
      <c r="O320" s="341" t="s">
        <v>443</v>
      </c>
      <c r="P320" s="341">
        <v>20</v>
      </c>
      <c r="Q320" s="341" t="s">
        <v>435</v>
      </c>
      <c r="R320" s="341">
        <v>20</v>
      </c>
      <c r="S320" s="341">
        <v>1</v>
      </c>
      <c r="T320" s="341" t="s">
        <v>438</v>
      </c>
      <c r="U320" s="341">
        <v>1</v>
      </c>
      <c r="V320" s="341" t="s">
        <v>540</v>
      </c>
      <c r="W320" s="341" t="s">
        <v>541</v>
      </c>
      <c r="X320" s="341" t="s">
        <v>542</v>
      </c>
      <c r="Y320" s="341" t="s">
        <v>490</v>
      </c>
      <c r="Z320" s="293" t="s">
        <v>542</v>
      </c>
      <c r="AA320" s="293" t="s">
        <v>543</v>
      </c>
      <c r="AB320" s="341" t="s">
        <v>439</v>
      </c>
      <c r="AC320" s="341">
        <v>6</v>
      </c>
      <c r="AD320" s="341" t="s">
        <v>440</v>
      </c>
      <c r="AE320" s="301">
        <v>2</v>
      </c>
      <c r="AF320" s="349" t="s">
        <v>455</v>
      </c>
    </row>
    <row r="321" spans="8:32">
      <c r="H321" s="340" t="s">
        <v>144</v>
      </c>
      <c r="I321" s="341" t="s">
        <v>451</v>
      </c>
      <c r="J321" s="341" t="s">
        <v>459</v>
      </c>
      <c r="K321" s="341" t="s">
        <v>460</v>
      </c>
      <c r="L321" s="341" t="s">
        <v>458</v>
      </c>
      <c r="M321" s="341" t="s">
        <v>445</v>
      </c>
      <c r="N321" s="341">
        <v>0.15</v>
      </c>
      <c r="O321" s="341" t="s">
        <v>443</v>
      </c>
      <c r="P321" s="341">
        <v>20</v>
      </c>
      <c r="Q321" s="341" t="s">
        <v>435</v>
      </c>
      <c r="R321" s="341">
        <v>20</v>
      </c>
      <c r="S321" s="341">
        <v>1</v>
      </c>
      <c r="T321" s="341" t="s">
        <v>438</v>
      </c>
      <c r="U321" s="341">
        <v>1</v>
      </c>
      <c r="V321" s="341" t="s">
        <v>540</v>
      </c>
      <c r="W321" s="341" t="s">
        <v>541</v>
      </c>
      <c r="X321" s="341" t="s">
        <v>542</v>
      </c>
      <c r="Y321" s="341" t="s">
        <v>490</v>
      </c>
      <c r="Z321" s="293" t="s">
        <v>542</v>
      </c>
      <c r="AA321" s="293" t="s">
        <v>543</v>
      </c>
      <c r="AB321" s="341" t="s">
        <v>439</v>
      </c>
      <c r="AC321" s="341">
        <v>6</v>
      </c>
      <c r="AD321" s="341" t="s">
        <v>440</v>
      </c>
      <c r="AE321" s="301">
        <v>2</v>
      </c>
      <c r="AF321" s="349" t="s">
        <v>455</v>
      </c>
    </row>
    <row r="322" spans="8:32">
      <c r="H322" s="340" t="s">
        <v>145</v>
      </c>
      <c r="I322" s="341" t="s">
        <v>451</v>
      </c>
      <c r="J322" s="341" t="s">
        <v>459</v>
      </c>
      <c r="K322" s="341" t="s">
        <v>460</v>
      </c>
      <c r="L322" s="341" t="s">
        <v>458</v>
      </c>
      <c r="M322" s="341" t="s">
        <v>445</v>
      </c>
      <c r="N322" s="341">
        <v>0.15</v>
      </c>
      <c r="O322" s="341" t="s">
        <v>443</v>
      </c>
      <c r="P322" s="341">
        <v>20</v>
      </c>
      <c r="Q322" s="341" t="s">
        <v>435</v>
      </c>
      <c r="R322" s="341">
        <v>20</v>
      </c>
      <c r="S322" s="341">
        <v>1</v>
      </c>
      <c r="T322" s="341" t="s">
        <v>438</v>
      </c>
      <c r="U322" s="341">
        <v>1</v>
      </c>
      <c r="V322" s="341" t="s">
        <v>540</v>
      </c>
      <c r="W322" s="341" t="s">
        <v>541</v>
      </c>
      <c r="X322" s="341" t="s">
        <v>542</v>
      </c>
      <c r="Y322" s="341" t="s">
        <v>490</v>
      </c>
      <c r="Z322" s="293" t="s">
        <v>542</v>
      </c>
      <c r="AA322" s="293" t="s">
        <v>543</v>
      </c>
      <c r="AB322" s="341" t="s">
        <v>439</v>
      </c>
      <c r="AC322" s="341">
        <v>6</v>
      </c>
      <c r="AD322" s="341" t="s">
        <v>440</v>
      </c>
      <c r="AE322" s="301">
        <v>2</v>
      </c>
      <c r="AF322" s="349" t="s">
        <v>455</v>
      </c>
    </row>
    <row r="323" spans="8:32">
      <c r="H323" s="340" t="s">
        <v>310</v>
      </c>
      <c r="I323" s="341" t="s">
        <v>451</v>
      </c>
      <c r="J323" s="341" t="s">
        <v>459</v>
      </c>
      <c r="K323" s="341" t="s">
        <v>460</v>
      </c>
      <c r="L323" s="341" t="s">
        <v>458</v>
      </c>
      <c r="M323" s="341" t="s">
        <v>445</v>
      </c>
      <c r="N323" s="341">
        <v>0.15</v>
      </c>
      <c r="O323" s="341" t="s">
        <v>443</v>
      </c>
      <c r="P323" s="341">
        <v>20</v>
      </c>
      <c r="Q323" s="341" t="s">
        <v>435</v>
      </c>
      <c r="R323" s="341">
        <v>20</v>
      </c>
      <c r="S323" s="341">
        <v>1</v>
      </c>
      <c r="T323" s="341" t="s">
        <v>438</v>
      </c>
      <c r="U323" s="341">
        <v>1</v>
      </c>
      <c r="V323" s="341" t="s">
        <v>540</v>
      </c>
      <c r="W323" s="341" t="s">
        <v>541</v>
      </c>
      <c r="X323" s="341" t="s">
        <v>542</v>
      </c>
      <c r="Y323" s="341" t="s">
        <v>490</v>
      </c>
      <c r="Z323" s="293" t="s">
        <v>542</v>
      </c>
      <c r="AA323" s="293" t="s">
        <v>543</v>
      </c>
      <c r="AB323" s="341" t="s">
        <v>439</v>
      </c>
      <c r="AC323" s="341">
        <v>6</v>
      </c>
      <c r="AD323" s="341" t="s">
        <v>440</v>
      </c>
      <c r="AE323" s="301">
        <v>2</v>
      </c>
      <c r="AF323" s="349" t="s">
        <v>455</v>
      </c>
    </row>
    <row r="324" spans="8:32">
      <c r="H324" s="340" t="s">
        <v>309</v>
      </c>
      <c r="I324" s="341" t="s">
        <v>451</v>
      </c>
      <c r="J324" s="341" t="s">
        <v>459</v>
      </c>
      <c r="K324" s="341" t="s">
        <v>460</v>
      </c>
      <c r="L324" s="341" t="s">
        <v>458</v>
      </c>
      <c r="M324" s="341" t="s">
        <v>445</v>
      </c>
      <c r="N324" s="341">
        <v>0.15</v>
      </c>
      <c r="O324" s="341" t="s">
        <v>443</v>
      </c>
      <c r="P324" s="341">
        <v>20</v>
      </c>
      <c r="Q324" s="341" t="s">
        <v>435</v>
      </c>
      <c r="R324" s="341">
        <v>20</v>
      </c>
      <c r="S324" s="341">
        <v>1</v>
      </c>
      <c r="T324" s="341" t="s">
        <v>438</v>
      </c>
      <c r="U324" s="341">
        <v>1</v>
      </c>
      <c r="V324" s="341" t="s">
        <v>540</v>
      </c>
      <c r="W324" s="341" t="s">
        <v>541</v>
      </c>
      <c r="X324" s="341" t="s">
        <v>542</v>
      </c>
      <c r="Y324" s="341" t="s">
        <v>490</v>
      </c>
      <c r="Z324" s="293" t="s">
        <v>542</v>
      </c>
      <c r="AA324" s="293" t="s">
        <v>543</v>
      </c>
      <c r="AB324" s="341" t="s">
        <v>439</v>
      </c>
      <c r="AC324" s="341">
        <v>6</v>
      </c>
      <c r="AD324" s="341" t="s">
        <v>440</v>
      </c>
      <c r="AE324" s="301">
        <v>2</v>
      </c>
      <c r="AF324" s="349" t="s">
        <v>455</v>
      </c>
    </row>
    <row r="325" spans="8:32">
      <c r="H325" s="340" t="s">
        <v>308</v>
      </c>
      <c r="I325" s="341" t="s">
        <v>451</v>
      </c>
      <c r="J325" s="341" t="s">
        <v>459</v>
      </c>
      <c r="K325" s="341" t="s">
        <v>460</v>
      </c>
      <c r="L325" s="341" t="s">
        <v>458</v>
      </c>
      <c r="M325" s="341" t="s">
        <v>445</v>
      </c>
      <c r="N325" s="341">
        <v>0.15</v>
      </c>
      <c r="O325" s="341" t="s">
        <v>443</v>
      </c>
      <c r="P325" s="341">
        <v>20</v>
      </c>
      <c r="Q325" s="341" t="s">
        <v>435</v>
      </c>
      <c r="R325" s="341">
        <v>20</v>
      </c>
      <c r="S325" s="341">
        <v>1</v>
      </c>
      <c r="T325" s="341" t="s">
        <v>438</v>
      </c>
      <c r="U325" s="341">
        <v>1</v>
      </c>
      <c r="V325" s="341" t="s">
        <v>540</v>
      </c>
      <c r="W325" s="341" t="s">
        <v>541</v>
      </c>
      <c r="X325" s="341" t="s">
        <v>542</v>
      </c>
      <c r="Y325" s="341" t="s">
        <v>490</v>
      </c>
      <c r="Z325" s="293" t="s">
        <v>542</v>
      </c>
      <c r="AA325" s="293" t="s">
        <v>543</v>
      </c>
      <c r="AB325" s="341" t="s">
        <v>439</v>
      </c>
      <c r="AC325" s="341">
        <v>6</v>
      </c>
      <c r="AD325" s="341" t="s">
        <v>440</v>
      </c>
      <c r="AE325" s="301">
        <v>2</v>
      </c>
      <c r="AF325" s="349" t="s">
        <v>455</v>
      </c>
    </row>
    <row r="326" spans="8:32">
      <c r="H326" s="340" t="s">
        <v>146</v>
      </c>
      <c r="I326" s="341" t="s">
        <v>451</v>
      </c>
      <c r="J326" s="341" t="s">
        <v>459</v>
      </c>
      <c r="K326" s="341" t="s">
        <v>460</v>
      </c>
      <c r="L326" s="341" t="s">
        <v>458</v>
      </c>
      <c r="M326" s="341" t="s">
        <v>445</v>
      </c>
      <c r="N326" s="341">
        <v>0.15</v>
      </c>
      <c r="O326" s="341" t="s">
        <v>443</v>
      </c>
      <c r="P326" s="341">
        <v>20</v>
      </c>
      <c r="Q326" s="341" t="s">
        <v>435</v>
      </c>
      <c r="R326" s="341">
        <v>20</v>
      </c>
      <c r="S326" s="341">
        <v>1</v>
      </c>
      <c r="T326" s="341" t="s">
        <v>438</v>
      </c>
      <c r="U326" s="341">
        <v>1</v>
      </c>
      <c r="V326" s="341" t="s">
        <v>540</v>
      </c>
      <c r="W326" s="341" t="s">
        <v>541</v>
      </c>
      <c r="X326" s="341" t="s">
        <v>542</v>
      </c>
      <c r="Y326" s="341" t="s">
        <v>490</v>
      </c>
      <c r="Z326" s="293" t="s">
        <v>542</v>
      </c>
      <c r="AA326" s="293" t="s">
        <v>543</v>
      </c>
      <c r="AB326" s="341" t="s">
        <v>439</v>
      </c>
      <c r="AC326" s="341">
        <v>6</v>
      </c>
      <c r="AD326" s="341" t="s">
        <v>440</v>
      </c>
      <c r="AE326" s="301">
        <v>2</v>
      </c>
      <c r="AF326" s="349" t="s">
        <v>455</v>
      </c>
    </row>
    <row r="327" spans="8:32">
      <c r="H327" s="340" t="s">
        <v>91</v>
      </c>
      <c r="I327" s="341" t="s">
        <v>451</v>
      </c>
      <c r="J327" s="341" t="s">
        <v>459</v>
      </c>
      <c r="K327" s="341" t="s">
        <v>460</v>
      </c>
      <c r="L327" s="341" t="s">
        <v>458</v>
      </c>
      <c r="M327" s="341" t="s">
        <v>445</v>
      </c>
      <c r="N327" s="341">
        <v>0.15</v>
      </c>
      <c r="O327" s="341" t="s">
        <v>443</v>
      </c>
      <c r="P327" s="341">
        <v>20</v>
      </c>
      <c r="Q327" s="341" t="s">
        <v>435</v>
      </c>
      <c r="R327" s="341">
        <v>20</v>
      </c>
      <c r="S327" s="341">
        <v>1</v>
      </c>
      <c r="T327" s="341" t="s">
        <v>440</v>
      </c>
      <c r="U327" s="341">
        <v>1</v>
      </c>
      <c r="V327" s="341" t="s">
        <v>478</v>
      </c>
      <c r="W327" s="341" t="s">
        <v>488</v>
      </c>
      <c r="X327" s="293" t="s">
        <v>491</v>
      </c>
      <c r="Y327" s="293" t="s">
        <v>490</v>
      </c>
      <c r="Z327" s="293">
        <v>5</v>
      </c>
      <c r="AA327" s="293" t="s">
        <v>489</v>
      </c>
      <c r="AB327" s="341" t="s">
        <v>439</v>
      </c>
      <c r="AC327" s="341">
        <v>3</v>
      </c>
      <c r="AD327" s="341" t="s">
        <v>440</v>
      </c>
      <c r="AE327" s="301">
        <v>2</v>
      </c>
      <c r="AF327" s="349" t="s">
        <v>455</v>
      </c>
    </row>
    <row r="328" spans="8:32">
      <c r="H328" s="340" t="s">
        <v>306</v>
      </c>
      <c r="I328" s="341" t="s">
        <v>451</v>
      </c>
      <c r="J328" s="341" t="s">
        <v>459</v>
      </c>
      <c r="K328" s="341" t="s">
        <v>460</v>
      </c>
      <c r="L328" s="341" t="s">
        <v>458</v>
      </c>
      <c r="M328" s="341" t="s">
        <v>445</v>
      </c>
      <c r="N328" s="341">
        <v>0.15</v>
      </c>
      <c r="O328" s="341" t="s">
        <v>443</v>
      </c>
      <c r="P328" s="341">
        <v>20</v>
      </c>
      <c r="Q328" s="341" t="s">
        <v>435</v>
      </c>
      <c r="R328" s="341">
        <v>20</v>
      </c>
      <c r="S328" s="341">
        <v>1</v>
      </c>
      <c r="T328" s="341" t="s">
        <v>440</v>
      </c>
      <c r="U328" s="341">
        <v>1</v>
      </c>
      <c r="V328" s="341" t="s">
        <v>478</v>
      </c>
      <c r="W328" s="341" t="s">
        <v>488</v>
      </c>
      <c r="X328" s="293" t="s">
        <v>491</v>
      </c>
      <c r="Y328" s="293" t="s">
        <v>490</v>
      </c>
      <c r="Z328" s="293">
        <v>5</v>
      </c>
      <c r="AA328" s="293" t="s">
        <v>489</v>
      </c>
      <c r="AB328" s="341" t="s">
        <v>439</v>
      </c>
      <c r="AC328" s="341">
        <v>3</v>
      </c>
      <c r="AD328" s="341" t="s">
        <v>440</v>
      </c>
      <c r="AE328" s="301">
        <v>2</v>
      </c>
      <c r="AF328" s="349" t="s">
        <v>455</v>
      </c>
    </row>
    <row r="329" spans="8:32">
      <c r="H329" s="340" t="s">
        <v>92</v>
      </c>
      <c r="I329" s="341" t="s">
        <v>451</v>
      </c>
      <c r="J329" s="341" t="s">
        <v>459</v>
      </c>
      <c r="K329" s="341" t="s">
        <v>460</v>
      </c>
      <c r="L329" s="341" t="s">
        <v>458</v>
      </c>
      <c r="M329" s="341" t="s">
        <v>445</v>
      </c>
      <c r="N329" s="341">
        <v>0.15</v>
      </c>
      <c r="O329" s="341" t="s">
        <v>443</v>
      </c>
      <c r="P329" s="341">
        <v>20</v>
      </c>
      <c r="Q329" s="341" t="s">
        <v>435</v>
      </c>
      <c r="R329" s="341">
        <v>20</v>
      </c>
      <c r="S329" s="341">
        <v>1</v>
      </c>
      <c r="T329" s="341" t="s">
        <v>440</v>
      </c>
      <c r="U329" s="341">
        <v>1</v>
      </c>
      <c r="V329" s="341" t="s">
        <v>478</v>
      </c>
      <c r="W329" s="341" t="s">
        <v>488</v>
      </c>
      <c r="X329" s="293" t="s">
        <v>491</v>
      </c>
      <c r="Y329" s="293" t="s">
        <v>490</v>
      </c>
      <c r="Z329" s="293">
        <v>5</v>
      </c>
      <c r="AA329" s="293" t="s">
        <v>489</v>
      </c>
      <c r="AB329" s="341" t="s">
        <v>439</v>
      </c>
      <c r="AC329" s="341">
        <v>3</v>
      </c>
      <c r="AD329" s="341" t="s">
        <v>440</v>
      </c>
      <c r="AE329" s="301">
        <v>2</v>
      </c>
      <c r="AF329" s="349" t="s">
        <v>455</v>
      </c>
    </row>
    <row r="330" spans="8:32">
      <c r="H330" s="340" t="s">
        <v>93</v>
      </c>
      <c r="I330" s="341" t="s">
        <v>451</v>
      </c>
      <c r="J330" s="341" t="s">
        <v>459</v>
      </c>
      <c r="K330" s="341" t="s">
        <v>460</v>
      </c>
      <c r="L330" s="341" t="s">
        <v>458</v>
      </c>
      <c r="M330" s="341" t="s">
        <v>445</v>
      </c>
      <c r="N330" s="341">
        <v>0.15</v>
      </c>
      <c r="O330" s="341" t="s">
        <v>443</v>
      </c>
      <c r="P330" s="341">
        <v>20</v>
      </c>
      <c r="Q330" s="341" t="s">
        <v>435</v>
      </c>
      <c r="R330" s="341">
        <v>20</v>
      </c>
      <c r="S330" s="341">
        <v>1</v>
      </c>
      <c r="T330" s="341" t="s">
        <v>440</v>
      </c>
      <c r="U330" s="341">
        <v>1</v>
      </c>
      <c r="V330" s="341" t="s">
        <v>478</v>
      </c>
      <c r="W330" s="341" t="s">
        <v>488</v>
      </c>
      <c r="X330" s="293" t="s">
        <v>491</v>
      </c>
      <c r="Y330" s="293" t="s">
        <v>490</v>
      </c>
      <c r="Z330" s="293">
        <v>5</v>
      </c>
      <c r="AA330" s="293" t="s">
        <v>489</v>
      </c>
      <c r="AB330" s="341" t="s">
        <v>439</v>
      </c>
      <c r="AC330" s="341">
        <v>3</v>
      </c>
      <c r="AD330" s="341" t="s">
        <v>440</v>
      </c>
      <c r="AE330" s="301">
        <v>2</v>
      </c>
      <c r="AF330" s="349" t="s">
        <v>455</v>
      </c>
    </row>
    <row r="331" spans="8:32">
      <c r="H331" s="340" t="s">
        <v>94</v>
      </c>
      <c r="I331" s="341" t="s">
        <v>451</v>
      </c>
      <c r="J331" s="341" t="s">
        <v>459</v>
      </c>
      <c r="K331" s="341" t="s">
        <v>460</v>
      </c>
      <c r="L331" s="341" t="s">
        <v>458</v>
      </c>
      <c r="M331" s="341" t="s">
        <v>445</v>
      </c>
      <c r="N331" s="341">
        <v>0.15</v>
      </c>
      <c r="O331" s="341" t="s">
        <v>443</v>
      </c>
      <c r="P331" s="341">
        <v>20</v>
      </c>
      <c r="Q331" s="341" t="s">
        <v>435</v>
      </c>
      <c r="R331" s="341">
        <v>20</v>
      </c>
      <c r="S331" s="341">
        <v>1</v>
      </c>
      <c r="T331" s="341" t="s">
        <v>438</v>
      </c>
      <c r="U331" s="341">
        <v>1</v>
      </c>
      <c r="V331" s="341" t="s">
        <v>540</v>
      </c>
      <c r="W331" s="341" t="s">
        <v>541</v>
      </c>
      <c r="X331" s="341" t="s">
        <v>542</v>
      </c>
      <c r="Y331" s="341" t="s">
        <v>490</v>
      </c>
      <c r="Z331" s="293" t="s">
        <v>542</v>
      </c>
      <c r="AA331" s="293" t="s">
        <v>543</v>
      </c>
      <c r="AB331" s="341" t="s">
        <v>439</v>
      </c>
      <c r="AC331" s="341">
        <v>6</v>
      </c>
      <c r="AD331" s="341" t="s">
        <v>440</v>
      </c>
      <c r="AE331" s="301">
        <v>2</v>
      </c>
      <c r="AF331" s="349" t="s">
        <v>455</v>
      </c>
    </row>
    <row r="332" spans="8:32">
      <c r="H332" s="340" t="s">
        <v>155</v>
      </c>
      <c r="I332" s="341" t="s">
        <v>451</v>
      </c>
      <c r="J332" s="341" t="s">
        <v>459</v>
      </c>
      <c r="K332" s="341" t="s">
        <v>460</v>
      </c>
      <c r="L332" s="341" t="s">
        <v>458</v>
      </c>
      <c r="M332" s="341" t="s">
        <v>445</v>
      </c>
      <c r="N332" s="341">
        <v>0.15</v>
      </c>
      <c r="O332" s="341" t="s">
        <v>443</v>
      </c>
      <c r="P332" s="341">
        <v>20</v>
      </c>
      <c r="Q332" s="341" t="s">
        <v>435</v>
      </c>
      <c r="R332" s="341">
        <v>20</v>
      </c>
      <c r="S332" s="341">
        <v>1</v>
      </c>
      <c r="T332" s="341" t="s">
        <v>440</v>
      </c>
      <c r="U332" s="341">
        <v>1</v>
      </c>
      <c r="V332" s="341" t="s">
        <v>478</v>
      </c>
      <c r="W332" s="341" t="s">
        <v>488</v>
      </c>
      <c r="X332" s="293" t="s">
        <v>491</v>
      </c>
      <c r="Y332" s="293" t="s">
        <v>490</v>
      </c>
      <c r="Z332" s="293">
        <v>5</v>
      </c>
      <c r="AA332" s="293" t="s">
        <v>489</v>
      </c>
      <c r="AB332" s="341" t="s">
        <v>439</v>
      </c>
      <c r="AC332" s="341">
        <v>3</v>
      </c>
      <c r="AD332" s="341" t="s">
        <v>440</v>
      </c>
      <c r="AE332" s="301">
        <v>2</v>
      </c>
      <c r="AF332" s="349" t="s">
        <v>455</v>
      </c>
    </row>
    <row r="333" spans="8:32">
      <c r="H333" s="340" t="s">
        <v>156</v>
      </c>
      <c r="I333" s="341" t="s">
        <v>451</v>
      </c>
      <c r="J333" s="341" t="s">
        <v>459</v>
      </c>
      <c r="K333" s="341" t="s">
        <v>460</v>
      </c>
      <c r="L333" s="341" t="s">
        <v>458</v>
      </c>
      <c r="M333" s="341" t="s">
        <v>445</v>
      </c>
      <c r="N333" s="341">
        <v>0.15</v>
      </c>
      <c r="O333" s="341" t="s">
        <v>443</v>
      </c>
      <c r="P333" s="341">
        <v>20</v>
      </c>
      <c r="Q333" s="341" t="s">
        <v>435</v>
      </c>
      <c r="R333" s="341">
        <v>20</v>
      </c>
      <c r="S333" s="341">
        <v>1</v>
      </c>
      <c r="T333" s="341" t="s">
        <v>440</v>
      </c>
      <c r="U333" s="341">
        <v>1</v>
      </c>
      <c r="V333" s="341" t="s">
        <v>478</v>
      </c>
      <c r="W333" s="341" t="s">
        <v>488</v>
      </c>
      <c r="X333" s="293" t="s">
        <v>491</v>
      </c>
      <c r="Y333" s="293" t="s">
        <v>490</v>
      </c>
      <c r="Z333" s="293">
        <v>5</v>
      </c>
      <c r="AA333" s="293" t="s">
        <v>489</v>
      </c>
      <c r="AB333" s="341" t="s">
        <v>439</v>
      </c>
      <c r="AC333" s="341">
        <v>3</v>
      </c>
      <c r="AD333" s="341" t="s">
        <v>440</v>
      </c>
      <c r="AE333" s="301">
        <v>2</v>
      </c>
      <c r="AF333" s="349" t="s">
        <v>455</v>
      </c>
    </row>
    <row r="334" spans="8:32">
      <c r="H334" s="340" t="s">
        <v>96</v>
      </c>
      <c r="I334" s="341" t="s">
        <v>451</v>
      </c>
      <c r="J334" s="341" t="s">
        <v>459</v>
      </c>
      <c r="K334" s="341" t="s">
        <v>460</v>
      </c>
      <c r="L334" s="341" t="s">
        <v>458</v>
      </c>
      <c r="M334" s="341" t="s">
        <v>445</v>
      </c>
      <c r="N334" s="341">
        <v>0.15</v>
      </c>
      <c r="O334" s="341" t="s">
        <v>443</v>
      </c>
      <c r="P334" s="341">
        <v>20</v>
      </c>
      <c r="Q334" s="341" t="s">
        <v>435</v>
      </c>
      <c r="R334" s="341">
        <v>20</v>
      </c>
      <c r="S334" s="341">
        <v>1</v>
      </c>
      <c r="T334" s="341" t="s">
        <v>440</v>
      </c>
      <c r="U334" s="341">
        <v>1</v>
      </c>
      <c r="V334" s="341" t="s">
        <v>478</v>
      </c>
      <c r="W334" s="341" t="s">
        <v>488</v>
      </c>
      <c r="X334" s="293" t="s">
        <v>491</v>
      </c>
      <c r="Y334" s="293" t="s">
        <v>490</v>
      </c>
      <c r="Z334" s="293">
        <v>5</v>
      </c>
      <c r="AA334" s="293" t="s">
        <v>489</v>
      </c>
      <c r="AB334" s="341" t="s">
        <v>439</v>
      </c>
      <c r="AC334" s="341">
        <v>3</v>
      </c>
      <c r="AD334" s="341" t="s">
        <v>440</v>
      </c>
      <c r="AE334" s="301">
        <v>2</v>
      </c>
      <c r="AF334" s="349" t="s">
        <v>455</v>
      </c>
    </row>
    <row r="335" spans="8:32">
      <c r="H335" s="340" t="s">
        <v>97</v>
      </c>
      <c r="I335" s="341" t="s">
        <v>451</v>
      </c>
      <c r="J335" s="341" t="s">
        <v>459</v>
      </c>
      <c r="K335" s="341" t="s">
        <v>460</v>
      </c>
      <c r="L335" s="341" t="s">
        <v>458</v>
      </c>
      <c r="M335" s="341" t="s">
        <v>445</v>
      </c>
      <c r="N335" s="341">
        <v>0.15</v>
      </c>
      <c r="O335" s="341" t="s">
        <v>443</v>
      </c>
      <c r="P335" s="341">
        <v>20</v>
      </c>
      <c r="Q335" s="341" t="s">
        <v>435</v>
      </c>
      <c r="R335" s="341">
        <v>20</v>
      </c>
      <c r="S335" s="341">
        <v>1</v>
      </c>
      <c r="T335" s="341" t="s">
        <v>440</v>
      </c>
      <c r="U335" s="341">
        <v>1</v>
      </c>
      <c r="V335" s="341" t="s">
        <v>478</v>
      </c>
      <c r="W335" s="341" t="s">
        <v>488</v>
      </c>
      <c r="X335" s="293" t="s">
        <v>491</v>
      </c>
      <c r="Y335" s="293" t="s">
        <v>490</v>
      </c>
      <c r="Z335" s="293">
        <v>5</v>
      </c>
      <c r="AA335" s="293" t="s">
        <v>489</v>
      </c>
      <c r="AB335" s="341" t="s">
        <v>439</v>
      </c>
      <c r="AC335" s="341">
        <v>3</v>
      </c>
      <c r="AD335" s="341" t="s">
        <v>440</v>
      </c>
      <c r="AE335" s="301">
        <v>2</v>
      </c>
      <c r="AF335" s="349" t="s">
        <v>455</v>
      </c>
    </row>
    <row r="336" spans="8:32">
      <c r="H336" s="340" t="s">
        <v>98</v>
      </c>
      <c r="I336" s="341" t="s">
        <v>451</v>
      </c>
      <c r="J336" s="341" t="s">
        <v>459</v>
      </c>
      <c r="K336" s="341" t="s">
        <v>460</v>
      </c>
      <c r="L336" s="341" t="s">
        <v>458</v>
      </c>
      <c r="M336" s="341" t="s">
        <v>445</v>
      </c>
      <c r="N336" s="341">
        <v>0.15</v>
      </c>
      <c r="O336" s="341" t="s">
        <v>443</v>
      </c>
      <c r="P336" s="341">
        <v>20</v>
      </c>
      <c r="Q336" s="341" t="s">
        <v>435</v>
      </c>
      <c r="R336" s="341">
        <v>20</v>
      </c>
      <c r="S336" s="341">
        <v>1</v>
      </c>
      <c r="T336" s="341" t="s">
        <v>440</v>
      </c>
      <c r="U336" s="341">
        <v>1</v>
      </c>
      <c r="V336" s="341" t="s">
        <v>478</v>
      </c>
      <c r="W336" s="341" t="s">
        <v>488</v>
      </c>
      <c r="X336" s="293" t="s">
        <v>491</v>
      </c>
      <c r="Y336" s="293" t="s">
        <v>490</v>
      </c>
      <c r="Z336" s="293">
        <v>5</v>
      </c>
      <c r="AA336" s="293" t="s">
        <v>489</v>
      </c>
      <c r="AB336" s="341" t="s">
        <v>439</v>
      </c>
      <c r="AC336" s="341">
        <v>3</v>
      </c>
      <c r="AD336" s="341" t="s">
        <v>440</v>
      </c>
      <c r="AE336" s="301">
        <v>2</v>
      </c>
      <c r="AF336" s="349" t="s">
        <v>455</v>
      </c>
    </row>
    <row r="337" spans="8:32">
      <c r="H337" s="340" t="s">
        <v>104</v>
      </c>
      <c r="I337" s="341" t="s">
        <v>451</v>
      </c>
      <c r="J337" s="341" t="s">
        <v>459</v>
      </c>
      <c r="K337" s="341" t="s">
        <v>460</v>
      </c>
      <c r="L337" s="341" t="s">
        <v>458</v>
      </c>
      <c r="M337" s="341" t="s">
        <v>445</v>
      </c>
      <c r="N337" s="341">
        <v>0.15</v>
      </c>
      <c r="O337" s="341" t="s">
        <v>443</v>
      </c>
      <c r="P337" s="341">
        <v>20</v>
      </c>
      <c r="Q337" s="341" t="s">
        <v>435</v>
      </c>
      <c r="R337" s="341">
        <v>20</v>
      </c>
      <c r="S337" s="341">
        <v>1</v>
      </c>
      <c r="T337" s="341" t="s">
        <v>440</v>
      </c>
      <c r="U337" s="341">
        <v>1</v>
      </c>
      <c r="V337" s="341" t="s">
        <v>478</v>
      </c>
      <c r="W337" s="341" t="s">
        <v>488</v>
      </c>
      <c r="X337" s="293" t="s">
        <v>491</v>
      </c>
      <c r="Y337" s="293" t="s">
        <v>490</v>
      </c>
      <c r="Z337" s="293">
        <v>5</v>
      </c>
      <c r="AA337" s="293" t="s">
        <v>489</v>
      </c>
      <c r="AB337" s="341" t="s">
        <v>439</v>
      </c>
      <c r="AC337" s="341">
        <v>3</v>
      </c>
      <c r="AD337" s="341" t="s">
        <v>440</v>
      </c>
      <c r="AE337" s="301">
        <v>2</v>
      </c>
      <c r="AF337" s="349" t="s">
        <v>455</v>
      </c>
    </row>
    <row r="338" spans="8:32">
      <c r="H338" s="340" t="s">
        <v>303</v>
      </c>
      <c r="I338" s="341" t="s">
        <v>451</v>
      </c>
      <c r="J338" s="341" t="s">
        <v>459</v>
      </c>
      <c r="K338" s="341" t="s">
        <v>460</v>
      </c>
      <c r="L338" s="341" t="s">
        <v>458</v>
      </c>
      <c r="M338" s="341" t="s">
        <v>445</v>
      </c>
      <c r="N338" s="341">
        <v>0.15</v>
      </c>
      <c r="O338" s="341" t="s">
        <v>443</v>
      </c>
      <c r="P338" s="341">
        <v>20</v>
      </c>
      <c r="Q338" s="341" t="s">
        <v>435</v>
      </c>
      <c r="R338" s="341">
        <v>20</v>
      </c>
      <c r="S338" s="341">
        <v>1</v>
      </c>
      <c r="T338" s="341" t="s">
        <v>440</v>
      </c>
      <c r="U338" s="341">
        <v>1</v>
      </c>
      <c r="V338" s="341" t="s">
        <v>478</v>
      </c>
      <c r="W338" s="341" t="s">
        <v>488</v>
      </c>
      <c r="X338" s="293" t="s">
        <v>491</v>
      </c>
      <c r="Y338" s="293" t="s">
        <v>490</v>
      </c>
      <c r="Z338" s="293">
        <v>5</v>
      </c>
      <c r="AA338" s="293" t="s">
        <v>489</v>
      </c>
      <c r="AB338" s="341" t="s">
        <v>439</v>
      </c>
      <c r="AC338" s="341">
        <v>3</v>
      </c>
      <c r="AD338" s="341" t="s">
        <v>440</v>
      </c>
      <c r="AE338" s="301">
        <v>2</v>
      </c>
      <c r="AF338" s="349" t="s">
        <v>455</v>
      </c>
    </row>
    <row r="339" spans="8:32">
      <c r="H339" s="340" t="s">
        <v>105</v>
      </c>
      <c r="I339" s="341" t="s">
        <v>451</v>
      </c>
      <c r="J339" s="341" t="s">
        <v>459</v>
      </c>
      <c r="K339" s="341" t="s">
        <v>460</v>
      </c>
      <c r="L339" s="341" t="s">
        <v>458</v>
      </c>
      <c r="M339" s="341" t="s">
        <v>445</v>
      </c>
      <c r="N339" s="341">
        <v>0.15</v>
      </c>
      <c r="O339" s="341" t="s">
        <v>443</v>
      </c>
      <c r="P339" s="341">
        <v>20</v>
      </c>
      <c r="Q339" s="341" t="s">
        <v>435</v>
      </c>
      <c r="R339" s="341">
        <v>20</v>
      </c>
      <c r="S339" s="341">
        <v>1</v>
      </c>
      <c r="T339" s="341" t="s">
        <v>440</v>
      </c>
      <c r="U339" s="341">
        <v>1</v>
      </c>
      <c r="V339" s="341" t="s">
        <v>478</v>
      </c>
      <c r="W339" s="341" t="s">
        <v>488</v>
      </c>
      <c r="X339" s="293" t="s">
        <v>491</v>
      </c>
      <c r="Y339" s="293" t="s">
        <v>490</v>
      </c>
      <c r="Z339" s="293">
        <v>5</v>
      </c>
      <c r="AA339" s="293" t="s">
        <v>489</v>
      </c>
      <c r="AB339" s="341" t="s">
        <v>439</v>
      </c>
      <c r="AC339" s="341">
        <v>3</v>
      </c>
      <c r="AD339" s="341" t="s">
        <v>440</v>
      </c>
      <c r="AE339" s="301">
        <v>2</v>
      </c>
      <c r="AF339" s="349" t="s">
        <v>455</v>
      </c>
    </row>
    <row r="340" spans="8:32">
      <c r="H340" s="340" t="s">
        <v>106</v>
      </c>
      <c r="I340" s="341" t="s">
        <v>451</v>
      </c>
      <c r="J340" s="341" t="s">
        <v>459</v>
      </c>
      <c r="K340" s="341" t="s">
        <v>460</v>
      </c>
      <c r="L340" s="341" t="s">
        <v>458</v>
      </c>
      <c r="M340" s="341" t="s">
        <v>445</v>
      </c>
      <c r="N340" s="341">
        <v>0.15</v>
      </c>
      <c r="O340" s="341" t="s">
        <v>443</v>
      </c>
      <c r="P340" s="341">
        <v>20</v>
      </c>
      <c r="Q340" s="341" t="s">
        <v>435</v>
      </c>
      <c r="R340" s="341">
        <v>20</v>
      </c>
      <c r="S340" s="341">
        <v>1</v>
      </c>
      <c r="T340" s="341" t="s">
        <v>440</v>
      </c>
      <c r="U340" s="341">
        <v>1</v>
      </c>
      <c r="V340" s="341" t="s">
        <v>478</v>
      </c>
      <c r="W340" s="341" t="s">
        <v>488</v>
      </c>
      <c r="X340" s="293" t="s">
        <v>491</v>
      </c>
      <c r="Y340" s="293" t="s">
        <v>490</v>
      </c>
      <c r="Z340" s="293">
        <v>5</v>
      </c>
      <c r="AA340" s="293" t="s">
        <v>489</v>
      </c>
      <c r="AB340" s="341" t="s">
        <v>439</v>
      </c>
      <c r="AC340" s="341">
        <v>3</v>
      </c>
      <c r="AD340" s="341" t="s">
        <v>440</v>
      </c>
      <c r="AE340" s="301">
        <v>2</v>
      </c>
      <c r="AF340" s="349" t="s">
        <v>455</v>
      </c>
    </row>
    <row r="341" spans="8:32">
      <c r="H341" s="340" t="s">
        <v>158</v>
      </c>
      <c r="I341" s="341" t="s">
        <v>451</v>
      </c>
      <c r="J341" s="341" t="s">
        <v>459</v>
      </c>
      <c r="K341" s="341" t="s">
        <v>460</v>
      </c>
      <c r="L341" s="341" t="s">
        <v>458</v>
      </c>
      <c r="M341" s="341" t="s">
        <v>445</v>
      </c>
      <c r="N341" s="341">
        <v>0.15</v>
      </c>
      <c r="O341" s="341" t="s">
        <v>443</v>
      </c>
      <c r="P341" s="341">
        <v>20</v>
      </c>
      <c r="Q341" s="341" t="s">
        <v>435</v>
      </c>
      <c r="R341" s="341">
        <v>20</v>
      </c>
      <c r="S341" s="341">
        <v>1</v>
      </c>
      <c r="T341" s="341" t="s">
        <v>438</v>
      </c>
      <c r="U341" s="341">
        <v>1</v>
      </c>
      <c r="V341" s="341" t="s">
        <v>540</v>
      </c>
      <c r="W341" s="341" t="s">
        <v>541</v>
      </c>
      <c r="X341" s="341" t="s">
        <v>542</v>
      </c>
      <c r="Y341" s="341" t="s">
        <v>490</v>
      </c>
      <c r="Z341" s="293" t="s">
        <v>542</v>
      </c>
      <c r="AA341" s="293" t="s">
        <v>543</v>
      </c>
      <c r="AB341" s="341" t="s">
        <v>439</v>
      </c>
      <c r="AC341" s="341">
        <v>6</v>
      </c>
      <c r="AD341" s="341" t="s">
        <v>440</v>
      </c>
      <c r="AE341" s="301">
        <v>2</v>
      </c>
      <c r="AF341" s="349" t="s">
        <v>455</v>
      </c>
    </row>
    <row r="342" spans="8:32">
      <c r="H342" s="340" t="s">
        <v>159</v>
      </c>
      <c r="I342" s="341" t="s">
        <v>451</v>
      </c>
      <c r="J342" s="341" t="s">
        <v>459</v>
      </c>
      <c r="K342" s="341" t="s">
        <v>460</v>
      </c>
      <c r="L342" s="341" t="s">
        <v>458</v>
      </c>
      <c r="M342" s="341" t="s">
        <v>445</v>
      </c>
      <c r="N342" s="341">
        <v>0.15</v>
      </c>
      <c r="O342" s="341" t="s">
        <v>443</v>
      </c>
      <c r="P342" s="341">
        <v>20</v>
      </c>
      <c r="Q342" s="341" t="s">
        <v>435</v>
      </c>
      <c r="R342" s="341">
        <v>20</v>
      </c>
      <c r="S342" s="341">
        <v>1</v>
      </c>
      <c r="T342" s="341" t="s">
        <v>438</v>
      </c>
      <c r="U342" s="341">
        <v>1</v>
      </c>
      <c r="V342" s="341" t="s">
        <v>540</v>
      </c>
      <c r="W342" s="341" t="s">
        <v>541</v>
      </c>
      <c r="X342" s="341" t="s">
        <v>542</v>
      </c>
      <c r="Y342" s="341" t="s">
        <v>490</v>
      </c>
      <c r="Z342" s="293" t="s">
        <v>542</v>
      </c>
      <c r="AA342" s="293" t="s">
        <v>543</v>
      </c>
      <c r="AB342" s="341" t="s">
        <v>439</v>
      </c>
      <c r="AC342" s="341">
        <v>6</v>
      </c>
      <c r="AD342" s="341" t="s">
        <v>440</v>
      </c>
      <c r="AE342" s="301">
        <v>2</v>
      </c>
      <c r="AF342" s="349" t="s">
        <v>455</v>
      </c>
    </row>
    <row r="343" spans="8:32">
      <c r="H343" s="344" t="s">
        <v>297</v>
      </c>
      <c r="I343" s="341" t="s">
        <v>451</v>
      </c>
      <c r="J343" s="341" t="s">
        <v>459</v>
      </c>
      <c r="K343" s="341" t="s">
        <v>460</v>
      </c>
      <c r="L343" s="341" t="s">
        <v>458</v>
      </c>
      <c r="M343" s="341" t="s">
        <v>445</v>
      </c>
      <c r="N343" s="341">
        <v>0.15</v>
      </c>
      <c r="O343" s="341" t="s">
        <v>443</v>
      </c>
      <c r="P343" s="341">
        <v>20</v>
      </c>
      <c r="Q343" s="341" t="s">
        <v>435</v>
      </c>
      <c r="R343" s="341">
        <v>20</v>
      </c>
      <c r="S343" s="341">
        <v>1</v>
      </c>
      <c r="T343" s="341" t="s">
        <v>440</v>
      </c>
      <c r="U343" s="341">
        <v>1</v>
      </c>
      <c r="V343" s="341" t="s">
        <v>478</v>
      </c>
      <c r="W343" s="341" t="s">
        <v>488</v>
      </c>
      <c r="X343" s="293" t="s">
        <v>491</v>
      </c>
      <c r="Y343" s="293" t="s">
        <v>490</v>
      </c>
      <c r="Z343" s="293">
        <v>5</v>
      </c>
      <c r="AA343" s="293" t="s">
        <v>489</v>
      </c>
      <c r="AB343" s="341" t="s">
        <v>439</v>
      </c>
      <c r="AC343" s="341">
        <v>3</v>
      </c>
      <c r="AD343" s="341" t="s">
        <v>440</v>
      </c>
      <c r="AE343" s="301">
        <v>2</v>
      </c>
      <c r="AF343" s="349" t="s">
        <v>455</v>
      </c>
    </row>
    <row r="344" spans="8:32">
      <c r="H344" s="344" t="s">
        <v>296</v>
      </c>
      <c r="I344" s="341" t="s">
        <v>451</v>
      </c>
      <c r="J344" s="341" t="s">
        <v>459</v>
      </c>
      <c r="K344" s="341" t="s">
        <v>460</v>
      </c>
      <c r="L344" s="341" t="s">
        <v>458</v>
      </c>
      <c r="M344" s="341" t="s">
        <v>445</v>
      </c>
      <c r="N344" s="341">
        <v>0.15</v>
      </c>
      <c r="O344" s="341" t="s">
        <v>443</v>
      </c>
      <c r="P344" s="341">
        <v>20</v>
      </c>
      <c r="Q344" s="341" t="s">
        <v>435</v>
      </c>
      <c r="R344" s="341">
        <v>20</v>
      </c>
      <c r="S344" s="341">
        <v>1</v>
      </c>
      <c r="T344" s="341" t="s">
        <v>440</v>
      </c>
      <c r="U344" s="341">
        <v>1</v>
      </c>
      <c r="V344" s="341" t="s">
        <v>478</v>
      </c>
      <c r="W344" s="341" t="s">
        <v>488</v>
      </c>
      <c r="X344" s="293" t="s">
        <v>491</v>
      </c>
      <c r="Y344" s="293" t="s">
        <v>490</v>
      </c>
      <c r="Z344" s="293">
        <v>5</v>
      </c>
      <c r="AA344" s="293" t="s">
        <v>489</v>
      </c>
      <c r="AB344" s="341" t="s">
        <v>439</v>
      </c>
      <c r="AC344" s="341">
        <v>3</v>
      </c>
      <c r="AD344" s="341" t="s">
        <v>440</v>
      </c>
      <c r="AE344" s="301">
        <v>2</v>
      </c>
      <c r="AF344" s="349" t="s">
        <v>455</v>
      </c>
    </row>
    <row r="345" spans="8:32">
      <c r="H345" s="344" t="s">
        <v>295</v>
      </c>
      <c r="I345" s="341" t="s">
        <v>451</v>
      </c>
      <c r="J345" s="341" t="s">
        <v>459</v>
      </c>
      <c r="K345" s="341" t="s">
        <v>460</v>
      </c>
      <c r="L345" s="341" t="s">
        <v>458</v>
      </c>
      <c r="M345" s="341" t="s">
        <v>445</v>
      </c>
      <c r="N345" s="341">
        <v>0.15</v>
      </c>
      <c r="O345" s="341" t="s">
        <v>443</v>
      </c>
      <c r="P345" s="341">
        <v>20</v>
      </c>
      <c r="Q345" s="341" t="s">
        <v>435</v>
      </c>
      <c r="R345" s="341">
        <v>20</v>
      </c>
      <c r="S345" s="341">
        <v>1</v>
      </c>
      <c r="T345" s="341" t="s">
        <v>440</v>
      </c>
      <c r="U345" s="341">
        <v>1</v>
      </c>
      <c r="V345" s="341" t="s">
        <v>478</v>
      </c>
      <c r="W345" s="341" t="s">
        <v>488</v>
      </c>
      <c r="X345" s="293" t="s">
        <v>491</v>
      </c>
      <c r="Y345" s="293" t="s">
        <v>490</v>
      </c>
      <c r="Z345" s="293">
        <v>5</v>
      </c>
      <c r="AA345" s="293" t="s">
        <v>489</v>
      </c>
      <c r="AB345" s="341" t="s">
        <v>439</v>
      </c>
      <c r="AC345" s="341">
        <v>3</v>
      </c>
      <c r="AD345" s="341" t="s">
        <v>440</v>
      </c>
      <c r="AE345" s="301">
        <v>2</v>
      </c>
      <c r="AF345" s="349" t="s">
        <v>455</v>
      </c>
    </row>
    <row r="346" spans="8:32">
      <c r="H346" s="344" t="s">
        <v>294</v>
      </c>
      <c r="I346" s="341" t="s">
        <v>451</v>
      </c>
      <c r="J346" s="341" t="s">
        <v>459</v>
      </c>
      <c r="K346" s="341" t="s">
        <v>460</v>
      </c>
      <c r="L346" s="341" t="s">
        <v>458</v>
      </c>
      <c r="M346" s="341" t="s">
        <v>445</v>
      </c>
      <c r="N346" s="341">
        <v>0.15</v>
      </c>
      <c r="O346" s="341" t="s">
        <v>443</v>
      </c>
      <c r="P346" s="341">
        <v>20</v>
      </c>
      <c r="Q346" s="341" t="s">
        <v>435</v>
      </c>
      <c r="R346" s="341">
        <v>20</v>
      </c>
      <c r="S346" s="341">
        <v>1</v>
      </c>
      <c r="T346" s="341" t="s">
        <v>440</v>
      </c>
      <c r="U346" s="341">
        <v>1</v>
      </c>
      <c r="V346" s="341" t="s">
        <v>478</v>
      </c>
      <c r="W346" s="341" t="s">
        <v>488</v>
      </c>
      <c r="X346" s="293" t="s">
        <v>491</v>
      </c>
      <c r="Y346" s="293" t="s">
        <v>490</v>
      </c>
      <c r="Z346" s="293">
        <v>5</v>
      </c>
      <c r="AA346" s="293" t="s">
        <v>489</v>
      </c>
      <c r="AB346" s="341" t="s">
        <v>439</v>
      </c>
      <c r="AC346" s="341">
        <v>3</v>
      </c>
      <c r="AD346" s="341" t="s">
        <v>440</v>
      </c>
      <c r="AE346" s="301">
        <v>2</v>
      </c>
      <c r="AF346" s="349" t="s">
        <v>455</v>
      </c>
    </row>
    <row r="347" spans="8:32">
      <c r="H347" s="344" t="s">
        <v>293</v>
      </c>
      <c r="I347" s="341" t="s">
        <v>451</v>
      </c>
      <c r="J347" s="341" t="s">
        <v>459</v>
      </c>
      <c r="K347" s="341" t="s">
        <v>460</v>
      </c>
      <c r="L347" s="341" t="s">
        <v>458</v>
      </c>
      <c r="M347" s="341" t="s">
        <v>445</v>
      </c>
      <c r="N347" s="341">
        <v>0.15</v>
      </c>
      <c r="O347" s="341" t="s">
        <v>443</v>
      </c>
      <c r="P347" s="341">
        <v>20</v>
      </c>
      <c r="Q347" s="341" t="s">
        <v>435</v>
      </c>
      <c r="R347" s="341">
        <v>20</v>
      </c>
      <c r="S347" s="341">
        <v>1</v>
      </c>
      <c r="T347" s="341" t="s">
        <v>438</v>
      </c>
      <c r="U347" s="341">
        <v>1</v>
      </c>
      <c r="V347" s="341" t="s">
        <v>540</v>
      </c>
      <c r="W347" s="341" t="s">
        <v>541</v>
      </c>
      <c r="X347" s="341" t="s">
        <v>542</v>
      </c>
      <c r="Y347" s="341" t="s">
        <v>490</v>
      </c>
      <c r="Z347" s="293" t="s">
        <v>542</v>
      </c>
      <c r="AA347" s="293" t="s">
        <v>543</v>
      </c>
      <c r="AB347" s="341" t="s">
        <v>439</v>
      </c>
      <c r="AC347" s="341">
        <v>6</v>
      </c>
      <c r="AD347" s="341" t="s">
        <v>440</v>
      </c>
      <c r="AE347" s="301">
        <v>2</v>
      </c>
      <c r="AF347" s="349" t="s">
        <v>455</v>
      </c>
    </row>
    <row r="348" spans="8:32">
      <c r="H348" s="344" t="s">
        <v>292</v>
      </c>
      <c r="I348" s="341" t="s">
        <v>451</v>
      </c>
      <c r="J348" s="341" t="s">
        <v>459</v>
      </c>
      <c r="K348" s="341" t="s">
        <v>460</v>
      </c>
      <c r="L348" s="341" t="s">
        <v>458</v>
      </c>
      <c r="M348" s="341" t="s">
        <v>445</v>
      </c>
      <c r="N348" s="341">
        <v>0.15</v>
      </c>
      <c r="O348" s="341" t="s">
        <v>443</v>
      </c>
      <c r="P348" s="341">
        <v>20</v>
      </c>
      <c r="Q348" s="341" t="s">
        <v>435</v>
      </c>
      <c r="R348" s="341">
        <v>20</v>
      </c>
      <c r="S348" s="341">
        <v>1</v>
      </c>
      <c r="T348" s="341" t="s">
        <v>438</v>
      </c>
      <c r="U348" s="341">
        <v>1</v>
      </c>
      <c r="V348" s="341" t="s">
        <v>540</v>
      </c>
      <c r="W348" s="341" t="s">
        <v>541</v>
      </c>
      <c r="X348" s="341" t="s">
        <v>542</v>
      </c>
      <c r="Y348" s="341" t="s">
        <v>490</v>
      </c>
      <c r="Z348" s="293" t="s">
        <v>542</v>
      </c>
      <c r="AA348" s="293" t="s">
        <v>543</v>
      </c>
      <c r="AB348" s="341" t="s">
        <v>439</v>
      </c>
      <c r="AC348" s="341">
        <v>6</v>
      </c>
      <c r="AD348" s="341" t="s">
        <v>440</v>
      </c>
      <c r="AE348" s="301">
        <v>2</v>
      </c>
      <c r="AF348" s="349" t="s">
        <v>455</v>
      </c>
    </row>
    <row r="349" spans="8:32">
      <c r="H349" s="344" t="s">
        <v>291</v>
      </c>
      <c r="I349" s="341" t="s">
        <v>451</v>
      </c>
      <c r="J349" s="341" t="s">
        <v>459</v>
      </c>
      <c r="K349" s="341" t="s">
        <v>460</v>
      </c>
      <c r="L349" s="341" t="s">
        <v>458</v>
      </c>
      <c r="M349" s="341" t="s">
        <v>445</v>
      </c>
      <c r="N349" s="341">
        <v>0.15</v>
      </c>
      <c r="O349" s="341" t="s">
        <v>443</v>
      </c>
      <c r="P349" s="341">
        <v>20</v>
      </c>
      <c r="Q349" s="341" t="s">
        <v>435</v>
      </c>
      <c r="R349" s="341">
        <v>20</v>
      </c>
      <c r="S349" s="341">
        <v>1</v>
      </c>
      <c r="T349" s="341" t="s">
        <v>438</v>
      </c>
      <c r="U349" s="341">
        <v>1</v>
      </c>
      <c r="V349" s="341" t="s">
        <v>540</v>
      </c>
      <c r="W349" s="341" t="s">
        <v>541</v>
      </c>
      <c r="X349" s="341" t="s">
        <v>542</v>
      </c>
      <c r="Y349" s="341" t="s">
        <v>490</v>
      </c>
      <c r="Z349" s="293" t="s">
        <v>542</v>
      </c>
      <c r="AA349" s="293" t="s">
        <v>543</v>
      </c>
      <c r="AB349" s="341" t="s">
        <v>439</v>
      </c>
      <c r="AC349" s="341">
        <v>6</v>
      </c>
      <c r="AD349" s="341" t="s">
        <v>440</v>
      </c>
      <c r="AE349" s="301">
        <v>2</v>
      </c>
      <c r="AF349" s="349" t="s">
        <v>455</v>
      </c>
    </row>
    <row r="350" spans="8:32">
      <c r="H350" s="344" t="s">
        <v>290</v>
      </c>
      <c r="I350" s="341" t="s">
        <v>451</v>
      </c>
      <c r="J350" s="341" t="s">
        <v>459</v>
      </c>
      <c r="K350" s="341" t="s">
        <v>460</v>
      </c>
      <c r="L350" s="341" t="s">
        <v>458</v>
      </c>
      <c r="M350" s="341" t="s">
        <v>445</v>
      </c>
      <c r="N350" s="341">
        <v>0.15</v>
      </c>
      <c r="O350" s="341" t="s">
        <v>443</v>
      </c>
      <c r="P350" s="341">
        <v>20</v>
      </c>
      <c r="Q350" s="341" t="s">
        <v>435</v>
      </c>
      <c r="R350" s="341">
        <v>20</v>
      </c>
      <c r="S350" s="341">
        <v>1</v>
      </c>
      <c r="T350" s="341" t="s">
        <v>438</v>
      </c>
      <c r="U350" s="341">
        <v>1</v>
      </c>
      <c r="V350" s="341" t="s">
        <v>540</v>
      </c>
      <c r="W350" s="341" t="s">
        <v>541</v>
      </c>
      <c r="X350" s="341" t="s">
        <v>542</v>
      </c>
      <c r="Y350" s="341" t="s">
        <v>490</v>
      </c>
      <c r="Z350" s="293" t="s">
        <v>542</v>
      </c>
      <c r="AA350" s="293" t="s">
        <v>543</v>
      </c>
      <c r="AB350" s="341" t="s">
        <v>439</v>
      </c>
      <c r="AC350" s="341">
        <v>6</v>
      </c>
      <c r="AD350" s="341" t="s">
        <v>440</v>
      </c>
      <c r="AE350" s="301">
        <v>2</v>
      </c>
      <c r="AF350" s="349" t="s">
        <v>455</v>
      </c>
    </row>
    <row r="351" spans="8:32">
      <c r="H351" s="344" t="s">
        <v>289</v>
      </c>
      <c r="I351" s="341" t="s">
        <v>451</v>
      </c>
      <c r="J351" s="341" t="s">
        <v>459</v>
      </c>
      <c r="K351" s="341" t="s">
        <v>460</v>
      </c>
      <c r="L351" s="341" t="s">
        <v>458</v>
      </c>
      <c r="M351" s="341" t="s">
        <v>445</v>
      </c>
      <c r="N351" s="341">
        <v>0.15</v>
      </c>
      <c r="O351" s="341" t="s">
        <v>443</v>
      </c>
      <c r="P351" s="341">
        <v>20</v>
      </c>
      <c r="Q351" s="341" t="s">
        <v>435</v>
      </c>
      <c r="R351" s="341">
        <v>20</v>
      </c>
      <c r="S351" s="341">
        <v>1</v>
      </c>
      <c r="T351" s="341" t="s">
        <v>438</v>
      </c>
      <c r="U351" s="341">
        <v>1</v>
      </c>
      <c r="V351" s="341" t="s">
        <v>540</v>
      </c>
      <c r="W351" s="341" t="s">
        <v>541</v>
      </c>
      <c r="X351" s="341" t="s">
        <v>542</v>
      </c>
      <c r="Y351" s="341" t="s">
        <v>490</v>
      </c>
      <c r="Z351" s="293" t="s">
        <v>542</v>
      </c>
      <c r="AA351" s="293" t="s">
        <v>543</v>
      </c>
      <c r="AB351" s="341" t="s">
        <v>439</v>
      </c>
      <c r="AC351" s="341">
        <v>6</v>
      </c>
      <c r="AD351" s="341" t="s">
        <v>440</v>
      </c>
      <c r="AE351" s="301">
        <v>2</v>
      </c>
      <c r="AF351" s="349" t="s">
        <v>455</v>
      </c>
    </row>
    <row r="352" spans="8:32">
      <c r="H352" s="344" t="s">
        <v>288</v>
      </c>
      <c r="I352" s="341" t="s">
        <v>451</v>
      </c>
      <c r="J352" s="341" t="s">
        <v>459</v>
      </c>
      <c r="K352" s="341" t="s">
        <v>460</v>
      </c>
      <c r="L352" s="341" t="s">
        <v>458</v>
      </c>
      <c r="M352" s="341" t="s">
        <v>445</v>
      </c>
      <c r="N352" s="341">
        <v>0.15</v>
      </c>
      <c r="O352" s="341" t="s">
        <v>443</v>
      </c>
      <c r="P352" s="341">
        <v>20</v>
      </c>
      <c r="Q352" s="341" t="s">
        <v>435</v>
      </c>
      <c r="R352" s="341">
        <v>20</v>
      </c>
      <c r="S352" s="341">
        <v>1</v>
      </c>
      <c r="T352" s="341" t="s">
        <v>438</v>
      </c>
      <c r="U352" s="341">
        <v>1</v>
      </c>
      <c r="V352" s="341" t="s">
        <v>540</v>
      </c>
      <c r="W352" s="341" t="s">
        <v>541</v>
      </c>
      <c r="X352" s="341" t="s">
        <v>542</v>
      </c>
      <c r="Y352" s="341" t="s">
        <v>490</v>
      </c>
      <c r="Z352" s="293" t="s">
        <v>542</v>
      </c>
      <c r="AA352" s="293" t="s">
        <v>543</v>
      </c>
      <c r="AB352" s="341" t="s">
        <v>439</v>
      </c>
      <c r="AC352" s="341">
        <v>6</v>
      </c>
      <c r="AD352" s="341" t="s">
        <v>440</v>
      </c>
      <c r="AE352" s="301">
        <v>2</v>
      </c>
      <c r="AF352" s="349" t="s">
        <v>455</v>
      </c>
    </row>
    <row r="353" spans="8:32">
      <c r="H353" s="344" t="s">
        <v>287</v>
      </c>
      <c r="I353" s="341" t="s">
        <v>451</v>
      </c>
      <c r="J353" s="341" t="s">
        <v>459</v>
      </c>
      <c r="K353" s="341" t="s">
        <v>460</v>
      </c>
      <c r="L353" s="341" t="s">
        <v>458</v>
      </c>
      <c r="M353" s="341" t="s">
        <v>445</v>
      </c>
      <c r="N353" s="341">
        <v>0.15</v>
      </c>
      <c r="O353" s="341" t="s">
        <v>443</v>
      </c>
      <c r="P353" s="341">
        <v>20</v>
      </c>
      <c r="Q353" s="341" t="s">
        <v>435</v>
      </c>
      <c r="R353" s="341">
        <v>20</v>
      </c>
      <c r="S353" s="341">
        <v>1</v>
      </c>
      <c r="T353" s="341" t="s">
        <v>440</v>
      </c>
      <c r="U353" s="341">
        <v>1</v>
      </c>
      <c r="V353" s="341" t="s">
        <v>478</v>
      </c>
      <c r="W353" s="341" t="s">
        <v>488</v>
      </c>
      <c r="X353" s="293" t="s">
        <v>491</v>
      </c>
      <c r="Y353" s="293" t="s">
        <v>490</v>
      </c>
      <c r="Z353" s="293">
        <v>5</v>
      </c>
      <c r="AA353" s="293" t="s">
        <v>489</v>
      </c>
      <c r="AB353" s="341" t="s">
        <v>439</v>
      </c>
      <c r="AC353" s="341">
        <v>3</v>
      </c>
      <c r="AD353" s="341" t="s">
        <v>440</v>
      </c>
      <c r="AE353" s="301">
        <v>2</v>
      </c>
      <c r="AF353" s="349" t="s">
        <v>455</v>
      </c>
    </row>
    <row r="354" spans="8:32">
      <c r="H354" s="344" t="s">
        <v>286</v>
      </c>
      <c r="I354" s="341" t="s">
        <v>451</v>
      </c>
      <c r="J354" s="341" t="s">
        <v>459</v>
      </c>
      <c r="K354" s="341" t="s">
        <v>460</v>
      </c>
      <c r="L354" s="341" t="s">
        <v>458</v>
      </c>
      <c r="M354" s="341" t="s">
        <v>445</v>
      </c>
      <c r="N354" s="341">
        <v>0.15</v>
      </c>
      <c r="O354" s="341" t="s">
        <v>443</v>
      </c>
      <c r="P354" s="341">
        <v>20</v>
      </c>
      <c r="Q354" s="341" t="s">
        <v>435</v>
      </c>
      <c r="R354" s="341">
        <v>20</v>
      </c>
      <c r="S354" s="341">
        <v>1</v>
      </c>
      <c r="T354" s="341" t="s">
        <v>440</v>
      </c>
      <c r="U354" s="341">
        <v>1</v>
      </c>
      <c r="V354" s="341" t="s">
        <v>478</v>
      </c>
      <c r="W354" s="341" t="s">
        <v>488</v>
      </c>
      <c r="X354" s="293" t="s">
        <v>491</v>
      </c>
      <c r="Y354" s="293" t="s">
        <v>490</v>
      </c>
      <c r="Z354" s="293">
        <v>5</v>
      </c>
      <c r="AA354" s="293" t="s">
        <v>489</v>
      </c>
      <c r="AB354" s="341" t="s">
        <v>439</v>
      </c>
      <c r="AC354" s="341">
        <v>3</v>
      </c>
      <c r="AD354" s="341" t="s">
        <v>440</v>
      </c>
      <c r="AE354" s="301">
        <v>2</v>
      </c>
      <c r="AF354" s="349" t="s">
        <v>455</v>
      </c>
    </row>
    <row r="355" spans="8:32">
      <c r="H355" s="344" t="s">
        <v>285</v>
      </c>
      <c r="I355" s="341" t="s">
        <v>451</v>
      </c>
      <c r="J355" s="341" t="s">
        <v>459</v>
      </c>
      <c r="K355" s="341" t="s">
        <v>460</v>
      </c>
      <c r="L355" s="341" t="s">
        <v>458</v>
      </c>
      <c r="M355" s="341" t="s">
        <v>445</v>
      </c>
      <c r="N355" s="341">
        <v>0.15</v>
      </c>
      <c r="O355" s="341" t="s">
        <v>443</v>
      </c>
      <c r="P355" s="341">
        <v>20</v>
      </c>
      <c r="Q355" s="341" t="s">
        <v>435</v>
      </c>
      <c r="R355" s="341">
        <v>20</v>
      </c>
      <c r="S355" s="341">
        <v>1</v>
      </c>
      <c r="T355" s="341" t="s">
        <v>440</v>
      </c>
      <c r="U355" s="341">
        <v>1</v>
      </c>
      <c r="V355" s="341" t="s">
        <v>478</v>
      </c>
      <c r="W355" s="341" t="s">
        <v>488</v>
      </c>
      <c r="X355" s="293" t="s">
        <v>491</v>
      </c>
      <c r="Y355" s="293" t="s">
        <v>490</v>
      </c>
      <c r="Z355" s="293">
        <v>5</v>
      </c>
      <c r="AA355" s="293" t="s">
        <v>489</v>
      </c>
      <c r="AB355" s="341" t="s">
        <v>439</v>
      </c>
      <c r="AC355" s="341">
        <v>3</v>
      </c>
      <c r="AD355" s="341" t="s">
        <v>440</v>
      </c>
      <c r="AE355" s="301">
        <v>2</v>
      </c>
      <c r="AF355" s="349" t="s">
        <v>455</v>
      </c>
    </row>
    <row r="356" spans="8:32">
      <c r="H356" s="344" t="s">
        <v>284</v>
      </c>
      <c r="I356" s="341" t="s">
        <v>451</v>
      </c>
      <c r="J356" s="341" t="s">
        <v>459</v>
      </c>
      <c r="K356" s="341" t="s">
        <v>460</v>
      </c>
      <c r="L356" s="341" t="s">
        <v>458</v>
      </c>
      <c r="M356" s="341" t="s">
        <v>445</v>
      </c>
      <c r="N356" s="341">
        <v>0.15</v>
      </c>
      <c r="O356" s="341" t="s">
        <v>443</v>
      </c>
      <c r="P356" s="341">
        <v>20</v>
      </c>
      <c r="Q356" s="341" t="s">
        <v>435</v>
      </c>
      <c r="R356" s="341">
        <v>20</v>
      </c>
      <c r="S356" s="341">
        <v>1</v>
      </c>
      <c r="T356" s="341" t="s">
        <v>440</v>
      </c>
      <c r="U356" s="341">
        <v>1</v>
      </c>
      <c r="V356" s="341" t="s">
        <v>478</v>
      </c>
      <c r="W356" s="341" t="s">
        <v>488</v>
      </c>
      <c r="X356" s="293" t="s">
        <v>491</v>
      </c>
      <c r="Y356" s="293" t="s">
        <v>490</v>
      </c>
      <c r="Z356" s="293">
        <v>5</v>
      </c>
      <c r="AA356" s="293" t="s">
        <v>489</v>
      </c>
      <c r="AB356" s="341" t="s">
        <v>439</v>
      </c>
      <c r="AC356" s="341">
        <v>3</v>
      </c>
      <c r="AD356" s="341" t="s">
        <v>440</v>
      </c>
      <c r="AE356" s="301">
        <v>2</v>
      </c>
      <c r="AF356" s="349" t="s">
        <v>455</v>
      </c>
    </row>
    <row r="357" spans="8:32">
      <c r="H357" s="344" t="s">
        <v>283</v>
      </c>
      <c r="I357" s="341" t="s">
        <v>451</v>
      </c>
      <c r="J357" s="341" t="s">
        <v>459</v>
      </c>
      <c r="K357" s="341" t="s">
        <v>460</v>
      </c>
      <c r="L357" s="341" t="s">
        <v>458</v>
      </c>
      <c r="M357" s="341" t="s">
        <v>445</v>
      </c>
      <c r="N357" s="341">
        <v>0.15</v>
      </c>
      <c r="O357" s="341" t="s">
        <v>443</v>
      </c>
      <c r="P357" s="341">
        <v>20</v>
      </c>
      <c r="Q357" s="341" t="s">
        <v>435</v>
      </c>
      <c r="R357" s="341">
        <v>20</v>
      </c>
      <c r="S357" s="341">
        <v>1</v>
      </c>
      <c r="T357" s="341" t="s">
        <v>438</v>
      </c>
      <c r="U357" s="341">
        <v>1</v>
      </c>
      <c r="V357" s="341" t="s">
        <v>540</v>
      </c>
      <c r="W357" s="341" t="s">
        <v>541</v>
      </c>
      <c r="X357" s="341" t="s">
        <v>542</v>
      </c>
      <c r="Y357" s="341" t="s">
        <v>490</v>
      </c>
      <c r="Z357" s="293" t="s">
        <v>542</v>
      </c>
      <c r="AA357" s="293" t="s">
        <v>543</v>
      </c>
      <c r="AB357" s="341" t="s">
        <v>439</v>
      </c>
      <c r="AC357" s="341">
        <v>6</v>
      </c>
      <c r="AD357" s="341" t="s">
        <v>440</v>
      </c>
      <c r="AE357" s="301">
        <v>2</v>
      </c>
      <c r="AF357" s="349" t="s">
        <v>455</v>
      </c>
    </row>
    <row r="358" spans="8:32">
      <c r="H358" s="344" t="s">
        <v>282</v>
      </c>
      <c r="I358" s="341" t="s">
        <v>451</v>
      </c>
      <c r="J358" s="341" t="s">
        <v>459</v>
      </c>
      <c r="K358" s="341" t="s">
        <v>460</v>
      </c>
      <c r="L358" s="341" t="s">
        <v>458</v>
      </c>
      <c r="M358" s="341" t="s">
        <v>445</v>
      </c>
      <c r="N358" s="341">
        <v>0.15</v>
      </c>
      <c r="O358" s="341" t="s">
        <v>443</v>
      </c>
      <c r="P358" s="341">
        <v>20</v>
      </c>
      <c r="Q358" s="341" t="s">
        <v>435</v>
      </c>
      <c r="R358" s="341">
        <v>20</v>
      </c>
      <c r="S358" s="341">
        <v>1</v>
      </c>
      <c r="T358" s="341" t="s">
        <v>438</v>
      </c>
      <c r="U358" s="341">
        <v>1</v>
      </c>
      <c r="V358" s="341" t="s">
        <v>540</v>
      </c>
      <c r="W358" s="341" t="s">
        <v>541</v>
      </c>
      <c r="X358" s="341" t="s">
        <v>542</v>
      </c>
      <c r="Y358" s="341" t="s">
        <v>490</v>
      </c>
      <c r="Z358" s="293" t="s">
        <v>542</v>
      </c>
      <c r="AA358" s="293" t="s">
        <v>543</v>
      </c>
      <c r="AB358" s="341" t="s">
        <v>439</v>
      </c>
      <c r="AC358" s="341">
        <v>6</v>
      </c>
      <c r="AD358" s="341" t="s">
        <v>440</v>
      </c>
      <c r="AE358" s="301">
        <v>2</v>
      </c>
      <c r="AF358" s="349" t="s">
        <v>455</v>
      </c>
    </row>
    <row r="359" spans="8:32">
      <c r="H359" s="344" t="s">
        <v>281</v>
      </c>
      <c r="I359" s="341" t="s">
        <v>451</v>
      </c>
      <c r="J359" s="341" t="s">
        <v>459</v>
      </c>
      <c r="K359" s="341" t="s">
        <v>460</v>
      </c>
      <c r="L359" s="341" t="s">
        <v>458</v>
      </c>
      <c r="M359" s="341" t="s">
        <v>445</v>
      </c>
      <c r="N359" s="341">
        <v>0.15</v>
      </c>
      <c r="O359" s="341" t="s">
        <v>443</v>
      </c>
      <c r="P359" s="341">
        <v>20</v>
      </c>
      <c r="Q359" s="341" t="s">
        <v>435</v>
      </c>
      <c r="R359" s="341">
        <v>20</v>
      </c>
      <c r="S359" s="341">
        <v>1</v>
      </c>
      <c r="T359" s="341" t="s">
        <v>438</v>
      </c>
      <c r="U359" s="341">
        <v>1</v>
      </c>
      <c r="V359" s="341" t="s">
        <v>540</v>
      </c>
      <c r="W359" s="341" t="s">
        <v>541</v>
      </c>
      <c r="X359" s="341" t="s">
        <v>542</v>
      </c>
      <c r="Y359" s="341" t="s">
        <v>490</v>
      </c>
      <c r="Z359" s="293" t="s">
        <v>542</v>
      </c>
      <c r="AA359" s="293" t="s">
        <v>543</v>
      </c>
      <c r="AB359" s="341" t="s">
        <v>439</v>
      </c>
      <c r="AC359" s="341">
        <v>6</v>
      </c>
      <c r="AD359" s="341" t="s">
        <v>440</v>
      </c>
      <c r="AE359" s="301">
        <v>2</v>
      </c>
      <c r="AF359" s="349" t="s">
        <v>455</v>
      </c>
    </row>
    <row r="360" spans="8:32">
      <c r="H360" s="344" t="s">
        <v>280</v>
      </c>
      <c r="I360" s="341" t="s">
        <v>451</v>
      </c>
      <c r="J360" s="341" t="s">
        <v>459</v>
      </c>
      <c r="K360" s="341" t="s">
        <v>460</v>
      </c>
      <c r="L360" s="341" t="s">
        <v>458</v>
      </c>
      <c r="M360" s="341" t="s">
        <v>445</v>
      </c>
      <c r="N360" s="341">
        <v>0.15</v>
      </c>
      <c r="O360" s="341" t="s">
        <v>443</v>
      </c>
      <c r="P360" s="341">
        <v>20</v>
      </c>
      <c r="Q360" s="341" t="s">
        <v>435</v>
      </c>
      <c r="R360" s="341">
        <v>20</v>
      </c>
      <c r="S360" s="341">
        <v>1</v>
      </c>
      <c r="T360" s="341" t="s">
        <v>438</v>
      </c>
      <c r="U360" s="341">
        <v>1</v>
      </c>
      <c r="V360" s="341" t="s">
        <v>540</v>
      </c>
      <c r="W360" s="341" t="s">
        <v>541</v>
      </c>
      <c r="X360" s="341" t="s">
        <v>542</v>
      </c>
      <c r="Y360" s="341" t="s">
        <v>490</v>
      </c>
      <c r="Z360" s="293" t="s">
        <v>542</v>
      </c>
      <c r="AA360" s="293" t="s">
        <v>543</v>
      </c>
      <c r="AB360" s="341" t="s">
        <v>439</v>
      </c>
      <c r="AC360" s="341">
        <v>6</v>
      </c>
      <c r="AD360" s="341" t="s">
        <v>440</v>
      </c>
      <c r="AE360" s="301">
        <v>2</v>
      </c>
      <c r="AF360" s="349" t="s">
        <v>455</v>
      </c>
    </row>
    <row r="361" spans="8:32">
      <c r="H361" s="344" t="s">
        <v>279</v>
      </c>
      <c r="I361" s="341" t="s">
        <v>451</v>
      </c>
      <c r="J361" s="341" t="s">
        <v>459</v>
      </c>
      <c r="K361" s="341" t="s">
        <v>460</v>
      </c>
      <c r="L361" s="341" t="s">
        <v>458</v>
      </c>
      <c r="M361" s="341" t="s">
        <v>445</v>
      </c>
      <c r="N361" s="341">
        <v>0.15</v>
      </c>
      <c r="O361" s="341" t="s">
        <v>443</v>
      </c>
      <c r="P361" s="341">
        <v>20</v>
      </c>
      <c r="Q361" s="341" t="s">
        <v>435</v>
      </c>
      <c r="R361" s="341">
        <v>20</v>
      </c>
      <c r="S361" s="341">
        <v>1</v>
      </c>
      <c r="T361" s="341" t="s">
        <v>438</v>
      </c>
      <c r="U361" s="341">
        <v>1</v>
      </c>
      <c r="V361" s="341" t="s">
        <v>540</v>
      </c>
      <c r="W361" s="341" t="s">
        <v>541</v>
      </c>
      <c r="X361" s="341" t="s">
        <v>542</v>
      </c>
      <c r="Y361" s="341" t="s">
        <v>490</v>
      </c>
      <c r="Z361" s="293" t="s">
        <v>542</v>
      </c>
      <c r="AA361" s="293" t="s">
        <v>543</v>
      </c>
      <c r="AB361" s="341" t="s">
        <v>439</v>
      </c>
      <c r="AC361" s="341">
        <v>6</v>
      </c>
      <c r="AD361" s="341" t="s">
        <v>440</v>
      </c>
      <c r="AE361" s="301">
        <v>2</v>
      </c>
      <c r="AF361" s="349" t="s">
        <v>455</v>
      </c>
    </row>
    <row r="362" spans="8:32">
      <c r="H362" s="344" t="s">
        <v>278</v>
      </c>
      <c r="I362" s="341" t="s">
        <v>451</v>
      </c>
      <c r="J362" s="341" t="s">
        <v>459</v>
      </c>
      <c r="K362" s="341" t="s">
        <v>460</v>
      </c>
      <c r="L362" s="341" t="s">
        <v>458</v>
      </c>
      <c r="M362" s="341" t="s">
        <v>445</v>
      </c>
      <c r="N362" s="341">
        <v>0.15</v>
      </c>
      <c r="O362" s="341" t="s">
        <v>443</v>
      </c>
      <c r="P362" s="341">
        <v>20</v>
      </c>
      <c r="Q362" s="341" t="s">
        <v>435</v>
      </c>
      <c r="R362" s="341">
        <v>20</v>
      </c>
      <c r="S362" s="341">
        <v>1</v>
      </c>
      <c r="T362" s="341" t="s">
        <v>438</v>
      </c>
      <c r="U362" s="341">
        <v>1</v>
      </c>
      <c r="V362" s="341" t="s">
        <v>540</v>
      </c>
      <c r="W362" s="341" t="s">
        <v>541</v>
      </c>
      <c r="X362" s="341" t="s">
        <v>542</v>
      </c>
      <c r="Y362" s="341" t="s">
        <v>490</v>
      </c>
      <c r="Z362" s="293" t="s">
        <v>542</v>
      </c>
      <c r="AA362" s="293" t="s">
        <v>543</v>
      </c>
      <c r="AB362" s="341" t="s">
        <v>439</v>
      </c>
      <c r="AC362" s="341">
        <v>6</v>
      </c>
      <c r="AD362" s="341" t="s">
        <v>440</v>
      </c>
      <c r="AE362" s="301">
        <v>2</v>
      </c>
      <c r="AF362" s="349" t="s">
        <v>455</v>
      </c>
    </row>
    <row r="363" spans="8:32">
      <c r="H363" s="340" t="s">
        <v>124</v>
      </c>
      <c r="I363" s="341" t="s">
        <v>462</v>
      </c>
      <c r="J363" s="350"/>
      <c r="K363" s="350"/>
      <c r="L363" s="350"/>
      <c r="M363" s="341" t="s">
        <v>445</v>
      </c>
      <c r="N363" s="341">
        <v>0.18</v>
      </c>
      <c r="O363" s="351" t="s">
        <v>464</v>
      </c>
      <c r="P363" s="341">
        <v>100</v>
      </c>
      <c r="Q363" s="341" t="s">
        <v>435</v>
      </c>
      <c r="R363" s="341">
        <v>20</v>
      </c>
      <c r="S363" s="341">
        <v>1</v>
      </c>
      <c r="T363" s="341" t="s">
        <v>440</v>
      </c>
      <c r="U363" s="341">
        <v>1</v>
      </c>
      <c r="V363" s="341" t="s">
        <v>478</v>
      </c>
      <c r="W363" s="341" t="s">
        <v>488</v>
      </c>
      <c r="X363" s="293" t="s">
        <v>491</v>
      </c>
      <c r="Y363" s="293" t="s">
        <v>490</v>
      </c>
      <c r="Z363" s="293">
        <v>5</v>
      </c>
      <c r="AA363" s="293" t="s">
        <v>489</v>
      </c>
      <c r="AB363" s="341" t="s">
        <v>439</v>
      </c>
      <c r="AC363" s="341">
        <v>3</v>
      </c>
      <c r="AD363" s="341" t="s">
        <v>463</v>
      </c>
      <c r="AE363" s="301">
        <v>2</v>
      </c>
      <c r="AF363" s="349" t="s">
        <v>464</v>
      </c>
    </row>
    <row r="364" spans="8:32">
      <c r="H364" s="340" t="s">
        <v>125</v>
      </c>
      <c r="I364" s="341" t="s">
        <v>462</v>
      </c>
      <c r="J364" s="350"/>
      <c r="K364" s="350"/>
      <c r="L364" s="350"/>
      <c r="M364" s="341" t="s">
        <v>445</v>
      </c>
      <c r="N364" s="341">
        <v>0.18</v>
      </c>
      <c r="O364" s="351" t="s">
        <v>464</v>
      </c>
      <c r="P364" s="341">
        <v>100</v>
      </c>
      <c r="Q364" s="341" t="s">
        <v>435</v>
      </c>
      <c r="R364" s="341">
        <v>20</v>
      </c>
      <c r="S364" s="341">
        <v>1</v>
      </c>
      <c r="T364" s="341" t="s">
        <v>440</v>
      </c>
      <c r="U364" s="341">
        <v>1</v>
      </c>
      <c r="V364" s="341" t="s">
        <v>478</v>
      </c>
      <c r="W364" s="341" t="s">
        <v>488</v>
      </c>
      <c r="X364" s="293" t="s">
        <v>491</v>
      </c>
      <c r="Y364" s="293" t="s">
        <v>490</v>
      </c>
      <c r="Z364" s="293">
        <v>5</v>
      </c>
      <c r="AA364" s="293" t="s">
        <v>489</v>
      </c>
      <c r="AB364" s="341" t="s">
        <v>439</v>
      </c>
      <c r="AC364" s="341">
        <v>3</v>
      </c>
      <c r="AD364" s="341" t="s">
        <v>463</v>
      </c>
      <c r="AE364" s="301">
        <v>2</v>
      </c>
      <c r="AF364" s="349" t="s">
        <v>464</v>
      </c>
    </row>
    <row r="365" spans="8:32">
      <c r="H365" s="340" t="s">
        <v>312</v>
      </c>
      <c r="I365" s="341" t="s">
        <v>462</v>
      </c>
      <c r="J365" s="350"/>
      <c r="K365" s="350"/>
      <c r="L365" s="350"/>
      <c r="M365" s="341" t="s">
        <v>445</v>
      </c>
      <c r="N365" s="341">
        <v>0.18</v>
      </c>
      <c r="O365" s="351" t="s">
        <v>464</v>
      </c>
      <c r="P365" s="341">
        <v>100</v>
      </c>
      <c r="Q365" s="341" t="s">
        <v>435</v>
      </c>
      <c r="R365" s="341">
        <v>20</v>
      </c>
      <c r="S365" s="341">
        <v>1</v>
      </c>
      <c r="T365" s="341" t="s">
        <v>440</v>
      </c>
      <c r="U365" s="341">
        <v>1</v>
      </c>
      <c r="V365" s="341" t="s">
        <v>478</v>
      </c>
      <c r="W365" s="341" t="s">
        <v>488</v>
      </c>
      <c r="X365" s="293" t="s">
        <v>491</v>
      </c>
      <c r="Y365" s="293" t="s">
        <v>490</v>
      </c>
      <c r="Z365" s="293">
        <v>5</v>
      </c>
      <c r="AA365" s="293" t="s">
        <v>489</v>
      </c>
      <c r="AB365" s="341" t="s">
        <v>439</v>
      </c>
      <c r="AC365" s="341">
        <v>3</v>
      </c>
      <c r="AD365" s="341" t="s">
        <v>463</v>
      </c>
      <c r="AE365" s="301">
        <v>2</v>
      </c>
      <c r="AF365" s="349" t="s">
        <v>464</v>
      </c>
    </row>
    <row r="366" spans="8:32">
      <c r="H366" s="340" t="s">
        <v>126</v>
      </c>
      <c r="I366" s="341" t="s">
        <v>462</v>
      </c>
      <c r="J366" s="350"/>
      <c r="K366" s="350"/>
      <c r="L366" s="350"/>
      <c r="M366" s="341" t="s">
        <v>445</v>
      </c>
      <c r="N366" s="341">
        <v>0.18</v>
      </c>
      <c r="O366" s="351" t="s">
        <v>464</v>
      </c>
      <c r="P366" s="341">
        <v>100</v>
      </c>
      <c r="Q366" s="341" t="s">
        <v>435</v>
      </c>
      <c r="R366" s="341">
        <v>20</v>
      </c>
      <c r="S366" s="341">
        <v>1</v>
      </c>
      <c r="T366" s="341" t="s">
        <v>440</v>
      </c>
      <c r="U366" s="341">
        <v>1</v>
      </c>
      <c r="V366" s="341" t="s">
        <v>478</v>
      </c>
      <c r="W366" s="341" t="s">
        <v>488</v>
      </c>
      <c r="X366" s="293" t="s">
        <v>491</v>
      </c>
      <c r="Y366" s="293" t="s">
        <v>490</v>
      </c>
      <c r="Z366" s="293">
        <v>5</v>
      </c>
      <c r="AA366" s="293" t="s">
        <v>489</v>
      </c>
      <c r="AB366" s="341" t="s">
        <v>439</v>
      </c>
      <c r="AC366" s="341">
        <v>3</v>
      </c>
      <c r="AD366" s="341" t="s">
        <v>463</v>
      </c>
      <c r="AE366" s="301">
        <v>2</v>
      </c>
      <c r="AF366" s="349" t="s">
        <v>464</v>
      </c>
    </row>
    <row r="367" spans="8:32">
      <c r="H367" s="340" t="s">
        <v>127</v>
      </c>
      <c r="I367" s="341" t="s">
        <v>462</v>
      </c>
      <c r="J367" s="350"/>
      <c r="K367" s="350"/>
      <c r="L367" s="350"/>
      <c r="M367" s="341" t="s">
        <v>445</v>
      </c>
      <c r="N367" s="341">
        <v>0.18</v>
      </c>
      <c r="O367" s="351" t="s">
        <v>464</v>
      </c>
      <c r="P367" s="341">
        <v>100</v>
      </c>
      <c r="Q367" s="341" t="s">
        <v>435</v>
      </c>
      <c r="R367" s="341">
        <v>20</v>
      </c>
      <c r="S367" s="341">
        <v>1</v>
      </c>
      <c r="T367" s="341" t="s">
        <v>440</v>
      </c>
      <c r="U367" s="341">
        <v>1</v>
      </c>
      <c r="V367" s="341" t="s">
        <v>478</v>
      </c>
      <c r="W367" s="341" t="s">
        <v>488</v>
      </c>
      <c r="X367" s="293" t="s">
        <v>491</v>
      </c>
      <c r="Y367" s="293" t="s">
        <v>490</v>
      </c>
      <c r="Z367" s="293">
        <v>5</v>
      </c>
      <c r="AA367" s="293" t="s">
        <v>489</v>
      </c>
      <c r="AB367" s="341" t="s">
        <v>439</v>
      </c>
      <c r="AC367" s="341">
        <v>3</v>
      </c>
      <c r="AD367" s="341" t="s">
        <v>463</v>
      </c>
      <c r="AE367" s="301">
        <v>2</v>
      </c>
      <c r="AF367" s="349" t="s">
        <v>464</v>
      </c>
    </row>
    <row r="368" spans="8:32">
      <c r="H368" s="340" t="s">
        <v>128</v>
      </c>
      <c r="I368" s="341" t="s">
        <v>462</v>
      </c>
      <c r="J368" s="350"/>
      <c r="K368" s="350"/>
      <c r="L368" s="350"/>
      <c r="M368" s="341" t="s">
        <v>445</v>
      </c>
      <c r="N368" s="341">
        <v>0.18</v>
      </c>
      <c r="O368" s="351" t="s">
        <v>464</v>
      </c>
      <c r="P368" s="341">
        <v>100</v>
      </c>
      <c r="Q368" s="341" t="s">
        <v>435</v>
      </c>
      <c r="R368" s="341">
        <v>20</v>
      </c>
      <c r="S368" s="341">
        <v>1</v>
      </c>
      <c r="T368" s="341" t="s">
        <v>440</v>
      </c>
      <c r="U368" s="341">
        <v>1</v>
      </c>
      <c r="V368" s="341" t="s">
        <v>478</v>
      </c>
      <c r="W368" s="341" t="s">
        <v>488</v>
      </c>
      <c r="X368" s="293" t="s">
        <v>491</v>
      </c>
      <c r="Y368" s="293" t="s">
        <v>490</v>
      </c>
      <c r="Z368" s="293">
        <v>5</v>
      </c>
      <c r="AA368" s="293" t="s">
        <v>489</v>
      </c>
      <c r="AB368" s="341" t="s">
        <v>439</v>
      </c>
      <c r="AC368" s="341">
        <v>3</v>
      </c>
      <c r="AD368" s="341" t="s">
        <v>463</v>
      </c>
      <c r="AE368" s="301">
        <v>2</v>
      </c>
      <c r="AF368" s="349" t="s">
        <v>464</v>
      </c>
    </row>
    <row r="369" spans="8:32">
      <c r="H369" s="340" t="s">
        <v>129</v>
      </c>
      <c r="I369" s="341" t="s">
        <v>462</v>
      </c>
      <c r="J369" s="350"/>
      <c r="K369" s="350"/>
      <c r="L369" s="350"/>
      <c r="M369" s="341" t="s">
        <v>445</v>
      </c>
      <c r="N369" s="341">
        <v>0.18</v>
      </c>
      <c r="O369" s="351" t="s">
        <v>464</v>
      </c>
      <c r="P369" s="341">
        <v>100</v>
      </c>
      <c r="Q369" s="341" t="s">
        <v>435</v>
      </c>
      <c r="R369" s="341">
        <v>20</v>
      </c>
      <c r="S369" s="341">
        <v>1</v>
      </c>
      <c r="T369" s="341" t="s">
        <v>440</v>
      </c>
      <c r="U369" s="341">
        <v>1</v>
      </c>
      <c r="V369" s="341" t="s">
        <v>478</v>
      </c>
      <c r="W369" s="341" t="s">
        <v>488</v>
      </c>
      <c r="X369" s="293" t="s">
        <v>491</v>
      </c>
      <c r="Y369" s="293" t="s">
        <v>490</v>
      </c>
      <c r="Z369" s="293">
        <v>5</v>
      </c>
      <c r="AA369" s="293" t="s">
        <v>489</v>
      </c>
      <c r="AB369" s="341" t="s">
        <v>439</v>
      </c>
      <c r="AC369" s="341">
        <v>3</v>
      </c>
      <c r="AD369" s="341" t="s">
        <v>463</v>
      </c>
      <c r="AE369" s="301">
        <v>2</v>
      </c>
      <c r="AF369" s="349" t="s">
        <v>464</v>
      </c>
    </row>
    <row r="370" spans="8:32">
      <c r="H370" s="340" t="s">
        <v>130</v>
      </c>
      <c r="I370" s="341" t="s">
        <v>462</v>
      </c>
      <c r="J370" s="350"/>
      <c r="K370" s="350"/>
      <c r="L370" s="350"/>
      <c r="M370" s="341" t="s">
        <v>445</v>
      </c>
      <c r="N370" s="341">
        <v>0.18</v>
      </c>
      <c r="O370" s="351" t="s">
        <v>464</v>
      </c>
      <c r="P370" s="341">
        <v>100</v>
      </c>
      <c r="Q370" s="341" t="s">
        <v>435</v>
      </c>
      <c r="R370" s="341">
        <v>20</v>
      </c>
      <c r="S370" s="341">
        <v>1</v>
      </c>
      <c r="T370" s="341" t="s">
        <v>440</v>
      </c>
      <c r="U370" s="341">
        <v>1</v>
      </c>
      <c r="V370" s="341" t="s">
        <v>478</v>
      </c>
      <c r="W370" s="341" t="s">
        <v>488</v>
      </c>
      <c r="X370" s="293" t="s">
        <v>491</v>
      </c>
      <c r="Y370" s="293" t="s">
        <v>490</v>
      </c>
      <c r="Z370" s="293">
        <v>5</v>
      </c>
      <c r="AA370" s="293" t="s">
        <v>489</v>
      </c>
      <c r="AB370" s="341" t="s">
        <v>439</v>
      </c>
      <c r="AC370" s="341">
        <v>3</v>
      </c>
      <c r="AD370" s="341" t="s">
        <v>463</v>
      </c>
      <c r="AE370" s="301">
        <v>2</v>
      </c>
      <c r="AF370" s="349" t="s">
        <v>464</v>
      </c>
    </row>
    <row r="371" spans="8:32">
      <c r="H371" s="340" t="s">
        <v>131</v>
      </c>
      <c r="I371" s="341" t="s">
        <v>462</v>
      </c>
      <c r="J371" s="350"/>
      <c r="K371" s="350"/>
      <c r="L371" s="350"/>
      <c r="M371" s="341" t="s">
        <v>445</v>
      </c>
      <c r="N371" s="341">
        <v>0.18</v>
      </c>
      <c r="O371" s="351" t="s">
        <v>464</v>
      </c>
      <c r="P371" s="341">
        <v>100</v>
      </c>
      <c r="Q371" s="341" t="s">
        <v>435</v>
      </c>
      <c r="R371" s="341">
        <v>20</v>
      </c>
      <c r="S371" s="341">
        <v>1</v>
      </c>
      <c r="T371" s="341" t="s">
        <v>440</v>
      </c>
      <c r="U371" s="341">
        <v>1</v>
      </c>
      <c r="V371" s="341" t="s">
        <v>478</v>
      </c>
      <c r="W371" s="341" t="s">
        <v>488</v>
      </c>
      <c r="X371" s="293" t="s">
        <v>491</v>
      </c>
      <c r="Y371" s="293" t="s">
        <v>490</v>
      </c>
      <c r="Z371" s="293">
        <v>5</v>
      </c>
      <c r="AA371" s="293" t="s">
        <v>489</v>
      </c>
      <c r="AB371" s="341" t="s">
        <v>439</v>
      </c>
      <c r="AC371" s="341">
        <v>3</v>
      </c>
      <c r="AD371" s="341" t="s">
        <v>463</v>
      </c>
      <c r="AE371" s="301">
        <v>2</v>
      </c>
      <c r="AF371" s="349" t="s">
        <v>464</v>
      </c>
    </row>
    <row r="372" spans="8:32">
      <c r="H372" s="340" t="s">
        <v>132</v>
      </c>
      <c r="I372" s="341" t="s">
        <v>462</v>
      </c>
      <c r="J372" s="350"/>
      <c r="K372" s="350"/>
      <c r="L372" s="350"/>
      <c r="M372" s="341" t="s">
        <v>445</v>
      </c>
      <c r="N372" s="341">
        <v>0.18</v>
      </c>
      <c r="O372" s="351" t="s">
        <v>464</v>
      </c>
      <c r="P372" s="341">
        <v>100</v>
      </c>
      <c r="Q372" s="341" t="s">
        <v>435</v>
      </c>
      <c r="R372" s="341">
        <v>20</v>
      </c>
      <c r="S372" s="341">
        <v>1</v>
      </c>
      <c r="T372" s="341" t="s">
        <v>440</v>
      </c>
      <c r="U372" s="341">
        <v>1</v>
      </c>
      <c r="V372" s="341" t="s">
        <v>478</v>
      </c>
      <c r="W372" s="341" t="s">
        <v>488</v>
      </c>
      <c r="X372" s="293" t="s">
        <v>491</v>
      </c>
      <c r="Y372" s="293" t="s">
        <v>490</v>
      </c>
      <c r="Z372" s="293">
        <v>5</v>
      </c>
      <c r="AA372" s="293" t="s">
        <v>489</v>
      </c>
      <c r="AB372" s="341" t="s">
        <v>439</v>
      </c>
      <c r="AC372" s="341">
        <v>3</v>
      </c>
      <c r="AD372" s="341" t="s">
        <v>463</v>
      </c>
      <c r="AE372" s="301">
        <v>2</v>
      </c>
      <c r="AF372" s="349" t="s">
        <v>464</v>
      </c>
    </row>
    <row r="373" spans="8:32">
      <c r="H373" s="340" t="s">
        <v>133</v>
      </c>
      <c r="I373" s="341" t="s">
        <v>462</v>
      </c>
      <c r="J373" s="350"/>
      <c r="K373" s="350"/>
      <c r="L373" s="350"/>
      <c r="M373" s="341" t="s">
        <v>445</v>
      </c>
      <c r="N373" s="341">
        <v>0.18</v>
      </c>
      <c r="O373" s="351" t="s">
        <v>464</v>
      </c>
      <c r="P373" s="341">
        <v>100</v>
      </c>
      <c r="Q373" s="341" t="s">
        <v>435</v>
      </c>
      <c r="R373" s="341">
        <v>20</v>
      </c>
      <c r="S373" s="341">
        <v>1</v>
      </c>
      <c r="T373" s="341" t="s">
        <v>440</v>
      </c>
      <c r="U373" s="341">
        <v>1</v>
      </c>
      <c r="V373" s="341" t="s">
        <v>478</v>
      </c>
      <c r="W373" s="341" t="s">
        <v>488</v>
      </c>
      <c r="X373" s="293" t="s">
        <v>491</v>
      </c>
      <c r="Y373" s="293" t="s">
        <v>490</v>
      </c>
      <c r="Z373" s="293">
        <v>5</v>
      </c>
      <c r="AA373" s="293" t="s">
        <v>489</v>
      </c>
      <c r="AB373" s="341" t="s">
        <v>439</v>
      </c>
      <c r="AC373" s="341">
        <v>3</v>
      </c>
      <c r="AD373" s="341" t="s">
        <v>463</v>
      </c>
      <c r="AE373" s="301">
        <v>2</v>
      </c>
      <c r="AF373" s="349" t="s">
        <v>464</v>
      </c>
    </row>
    <row r="374" spans="8:32">
      <c r="H374" s="340" t="s">
        <v>134</v>
      </c>
      <c r="I374" s="341" t="s">
        <v>462</v>
      </c>
      <c r="J374" s="350"/>
      <c r="K374" s="350"/>
      <c r="L374" s="350"/>
      <c r="M374" s="341" t="s">
        <v>445</v>
      </c>
      <c r="N374" s="341">
        <v>0.18</v>
      </c>
      <c r="O374" s="351" t="s">
        <v>464</v>
      </c>
      <c r="P374" s="341">
        <v>100</v>
      </c>
      <c r="Q374" s="341" t="s">
        <v>435</v>
      </c>
      <c r="R374" s="341">
        <v>20</v>
      </c>
      <c r="S374" s="341">
        <v>1</v>
      </c>
      <c r="T374" s="341" t="s">
        <v>440</v>
      </c>
      <c r="U374" s="341">
        <v>1</v>
      </c>
      <c r="V374" s="341" t="s">
        <v>478</v>
      </c>
      <c r="W374" s="341" t="s">
        <v>488</v>
      </c>
      <c r="X374" s="293" t="s">
        <v>491</v>
      </c>
      <c r="Y374" s="293" t="s">
        <v>490</v>
      </c>
      <c r="Z374" s="293">
        <v>5</v>
      </c>
      <c r="AA374" s="293" t="s">
        <v>489</v>
      </c>
      <c r="AB374" s="341" t="s">
        <v>439</v>
      </c>
      <c r="AC374" s="341">
        <v>3</v>
      </c>
      <c r="AD374" s="341" t="s">
        <v>463</v>
      </c>
      <c r="AE374" s="301">
        <v>2</v>
      </c>
      <c r="AF374" s="349" t="s">
        <v>464</v>
      </c>
    </row>
    <row r="375" spans="8:32">
      <c r="H375" s="340" t="s">
        <v>135</v>
      </c>
      <c r="I375" s="341" t="s">
        <v>462</v>
      </c>
      <c r="J375" s="350"/>
      <c r="K375" s="350"/>
      <c r="L375" s="350"/>
      <c r="M375" s="341" t="s">
        <v>445</v>
      </c>
      <c r="N375" s="341">
        <v>0.18</v>
      </c>
      <c r="O375" s="351" t="s">
        <v>464</v>
      </c>
      <c r="P375" s="341">
        <v>100</v>
      </c>
      <c r="Q375" s="341" t="s">
        <v>435</v>
      </c>
      <c r="R375" s="341">
        <v>20</v>
      </c>
      <c r="S375" s="341">
        <v>1</v>
      </c>
      <c r="T375" s="341" t="s">
        <v>440</v>
      </c>
      <c r="U375" s="341">
        <v>1</v>
      </c>
      <c r="V375" s="341" t="s">
        <v>478</v>
      </c>
      <c r="W375" s="341" t="s">
        <v>488</v>
      </c>
      <c r="X375" s="293" t="s">
        <v>491</v>
      </c>
      <c r="Y375" s="293" t="s">
        <v>490</v>
      </c>
      <c r="Z375" s="293">
        <v>5</v>
      </c>
      <c r="AA375" s="293" t="s">
        <v>489</v>
      </c>
      <c r="AB375" s="341" t="s">
        <v>439</v>
      </c>
      <c r="AC375" s="341">
        <v>3</v>
      </c>
      <c r="AD375" s="341" t="s">
        <v>463</v>
      </c>
      <c r="AE375" s="301">
        <v>2</v>
      </c>
      <c r="AF375" s="349" t="s">
        <v>464</v>
      </c>
    </row>
    <row r="376" spans="8:32">
      <c r="H376" s="340" t="s">
        <v>136</v>
      </c>
      <c r="I376" s="341" t="s">
        <v>462</v>
      </c>
      <c r="J376" s="350"/>
      <c r="K376" s="350"/>
      <c r="L376" s="350"/>
      <c r="M376" s="341" t="s">
        <v>445</v>
      </c>
      <c r="N376" s="341">
        <v>0.18</v>
      </c>
      <c r="O376" s="351" t="s">
        <v>464</v>
      </c>
      <c r="P376" s="341">
        <v>100</v>
      </c>
      <c r="Q376" s="341" t="s">
        <v>435</v>
      </c>
      <c r="R376" s="341">
        <v>20</v>
      </c>
      <c r="S376" s="341">
        <v>1</v>
      </c>
      <c r="T376" s="341" t="s">
        <v>440</v>
      </c>
      <c r="U376" s="341">
        <v>1</v>
      </c>
      <c r="V376" s="341" t="s">
        <v>478</v>
      </c>
      <c r="W376" s="341" t="s">
        <v>488</v>
      </c>
      <c r="X376" s="293" t="s">
        <v>491</v>
      </c>
      <c r="Y376" s="293" t="s">
        <v>490</v>
      </c>
      <c r="Z376" s="293">
        <v>5</v>
      </c>
      <c r="AA376" s="293" t="s">
        <v>489</v>
      </c>
      <c r="AB376" s="341" t="s">
        <v>439</v>
      </c>
      <c r="AC376" s="341">
        <v>3</v>
      </c>
      <c r="AD376" s="341" t="s">
        <v>463</v>
      </c>
      <c r="AE376" s="301">
        <v>2</v>
      </c>
      <c r="AF376" s="349" t="s">
        <v>464</v>
      </c>
    </row>
    <row r="377" spans="8:32">
      <c r="H377" s="340" t="s">
        <v>137</v>
      </c>
      <c r="I377" s="341" t="s">
        <v>462</v>
      </c>
      <c r="J377" s="350"/>
      <c r="K377" s="350"/>
      <c r="L377" s="350"/>
      <c r="M377" s="341" t="s">
        <v>445</v>
      </c>
      <c r="N377" s="341">
        <v>0.18</v>
      </c>
      <c r="O377" s="351" t="s">
        <v>464</v>
      </c>
      <c r="P377" s="341">
        <v>100</v>
      </c>
      <c r="Q377" s="341" t="s">
        <v>435</v>
      </c>
      <c r="R377" s="341">
        <v>20</v>
      </c>
      <c r="S377" s="341">
        <v>1</v>
      </c>
      <c r="T377" s="341" t="s">
        <v>440</v>
      </c>
      <c r="U377" s="341">
        <v>1</v>
      </c>
      <c r="V377" s="341" t="s">
        <v>478</v>
      </c>
      <c r="W377" s="341" t="s">
        <v>488</v>
      </c>
      <c r="X377" s="293" t="s">
        <v>491</v>
      </c>
      <c r="Y377" s="293" t="s">
        <v>490</v>
      </c>
      <c r="Z377" s="293">
        <v>5</v>
      </c>
      <c r="AA377" s="293" t="s">
        <v>489</v>
      </c>
      <c r="AB377" s="341" t="s">
        <v>439</v>
      </c>
      <c r="AC377" s="341">
        <v>3</v>
      </c>
      <c r="AD377" s="341" t="s">
        <v>463</v>
      </c>
      <c r="AE377" s="301">
        <v>2</v>
      </c>
      <c r="AF377" s="349" t="s">
        <v>464</v>
      </c>
    </row>
    <row r="378" spans="8:32">
      <c r="H378" s="340" t="s">
        <v>311</v>
      </c>
      <c r="I378" s="341" t="s">
        <v>462</v>
      </c>
      <c r="J378" s="350"/>
      <c r="K378" s="350"/>
      <c r="L378" s="350"/>
      <c r="M378" s="341" t="s">
        <v>445</v>
      </c>
      <c r="N378" s="341">
        <v>0.18</v>
      </c>
      <c r="O378" s="351" t="s">
        <v>464</v>
      </c>
      <c r="P378" s="341">
        <v>100</v>
      </c>
      <c r="Q378" s="341" t="s">
        <v>435</v>
      </c>
      <c r="R378" s="341">
        <v>20</v>
      </c>
      <c r="S378" s="341">
        <v>1</v>
      </c>
      <c r="T378" s="341" t="s">
        <v>440</v>
      </c>
      <c r="U378" s="341">
        <v>1</v>
      </c>
      <c r="V378" s="341" t="s">
        <v>478</v>
      </c>
      <c r="W378" s="341" t="s">
        <v>488</v>
      </c>
      <c r="X378" s="293" t="s">
        <v>491</v>
      </c>
      <c r="Y378" s="293" t="s">
        <v>490</v>
      </c>
      <c r="Z378" s="293">
        <v>5</v>
      </c>
      <c r="AA378" s="293" t="s">
        <v>489</v>
      </c>
      <c r="AB378" s="341" t="s">
        <v>439</v>
      </c>
      <c r="AC378" s="341">
        <v>3</v>
      </c>
      <c r="AD378" s="341" t="s">
        <v>463</v>
      </c>
      <c r="AE378" s="301">
        <v>2</v>
      </c>
      <c r="AF378" s="349" t="s">
        <v>464</v>
      </c>
    </row>
    <row r="379" spans="8:32">
      <c r="H379" s="340" t="s">
        <v>138</v>
      </c>
      <c r="I379" s="341" t="s">
        <v>462</v>
      </c>
      <c r="J379" s="350"/>
      <c r="K379" s="350"/>
      <c r="L379" s="350"/>
      <c r="M379" s="341" t="s">
        <v>445</v>
      </c>
      <c r="N379" s="341">
        <v>0.18</v>
      </c>
      <c r="O379" s="351" t="s">
        <v>464</v>
      </c>
      <c r="P379" s="341">
        <v>100</v>
      </c>
      <c r="Q379" s="341" t="s">
        <v>435</v>
      </c>
      <c r="R379" s="341">
        <v>20</v>
      </c>
      <c r="S379" s="341">
        <v>1</v>
      </c>
      <c r="T379" s="341" t="s">
        <v>440</v>
      </c>
      <c r="U379" s="341">
        <v>1</v>
      </c>
      <c r="V379" s="341" t="s">
        <v>478</v>
      </c>
      <c r="W379" s="341" t="s">
        <v>488</v>
      </c>
      <c r="X379" s="293" t="s">
        <v>491</v>
      </c>
      <c r="Y379" s="293" t="s">
        <v>490</v>
      </c>
      <c r="Z379" s="293">
        <v>5</v>
      </c>
      <c r="AA379" s="293" t="s">
        <v>489</v>
      </c>
      <c r="AB379" s="341" t="s">
        <v>439</v>
      </c>
      <c r="AC379" s="341">
        <v>3</v>
      </c>
      <c r="AD379" s="341" t="s">
        <v>463</v>
      </c>
      <c r="AE379" s="301">
        <v>2</v>
      </c>
      <c r="AF379" s="349" t="s">
        <v>464</v>
      </c>
    </row>
    <row r="380" spans="8:32">
      <c r="H380" s="340" t="s">
        <v>86</v>
      </c>
      <c r="I380" s="341" t="s">
        <v>462</v>
      </c>
      <c r="J380" s="350"/>
      <c r="K380" s="350"/>
      <c r="L380" s="350"/>
      <c r="M380" s="341" t="s">
        <v>445</v>
      </c>
      <c r="N380" s="341">
        <v>0.18</v>
      </c>
      <c r="O380" s="351" t="s">
        <v>464</v>
      </c>
      <c r="P380" s="341">
        <v>100</v>
      </c>
      <c r="Q380" s="341" t="s">
        <v>435</v>
      </c>
      <c r="R380" s="341">
        <v>20</v>
      </c>
      <c r="S380" s="341">
        <v>1</v>
      </c>
      <c r="T380" s="341" t="s">
        <v>440</v>
      </c>
      <c r="U380" s="341">
        <v>1</v>
      </c>
      <c r="V380" s="341" t="s">
        <v>478</v>
      </c>
      <c r="W380" s="341" t="s">
        <v>488</v>
      </c>
      <c r="X380" s="293" t="s">
        <v>491</v>
      </c>
      <c r="Y380" s="293" t="s">
        <v>490</v>
      </c>
      <c r="Z380" s="293">
        <v>5</v>
      </c>
      <c r="AA380" s="293" t="s">
        <v>489</v>
      </c>
      <c r="AB380" s="341" t="s">
        <v>439</v>
      </c>
      <c r="AC380" s="341">
        <v>3</v>
      </c>
      <c r="AD380" s="341" t="s">
        <v>463</v>
      </c>
      <c r="AE380" s="301">
        <v>2</v>
      </c>
      <c r="AF380" s="349" t="s">
        <v>464</v>
      </c>
    </row>
    <row r="381" spans="8:32">
      <c r="H381" s="340" t="s">
        <v>87</v>
      </c>
      <c r="I381" s="341" t="s">
        <v>462</v>
      </c>
      <c r="J381" s="350"/>
      <c r="K381" s="350"/>
      <c r="L381" s="350"/>
      <c r="M381" s="341" t="s">
        <v>445</v>
      </c>
      <c r="N381" s="341">
        <v>0.18</v>
      </c>
      <c r="O381" s="351" t="s">
        <v>464</v>
      </c>
      <c r="P381" s="341">
        <v>100</v>
      </c>
      <c r="Q381" s="341" t="s">
        <v>435</v>
      </c>
      <c r="R381" s="341">
        <v>20</v>
      </c>
      <c r="S381" s="341">
        <v>1</v>
      </c>
      <c r="T381" s="341" t="s">
        <v>440</v>
      </c>
      <c r="U381" s="341">
        <v>1</v>
      </c>
      <c r="V381" s="341" t="s">
        <v>478</v>
      </c>
      <c r="W381" s="341" t="s">
        <v>488</v>
      </c>
      <c r="X381" s="293" t="s">
        <v>491</v>
      </c>
      <c r="Y381" s="293" t="s">
        <v>490</v>
      </c>
      <c r="Z381" s="293">
        <v>5</v>
      </c>
      <c r="AA381" s="293" t="s">
        <v>489</v>
      </c>
      <c r="AB381" s="341" t="s">
        <v>439</v>
      </c>
      <c r="AC381" s="341">
        <v>3</v>
      </c>
      <c r="AD381" s="341" t="s">
        <v>463</v>
      </c>
      <c r="AE381" s="301">
        <v>2</v>
      </c>
      <c r="AF381" s="349" t="s">
        <v>464</v>
      </c>
    </row>
    <row r="382" spans="8:32">
      <c r="H382" s="340" t="s">
        <v>88</v>
      </c>
      <c r="I382" s="341" t="s">
        <v>462</v>
      </c>
      <c r="J382" s="350"/>
      <c r="K382" s="350"/>
      <c r="L382" s="350"/>
      <c r="M382" s="341" t="s">
        <v>445</v>
      </c>
      <c r="N382" s="341">
        <v>0.18</v>
      </c>
      <c r="O382" s="351" t="s">
        <v>464</v>
      </c>
      <c r="P382" s="341">
        <v>100</v>
      </c>
      <c r="Q382" s="341" t="s">
        <v>435</v>
      </c>
      <c r="R382" s="341">
        <v>20</v>
      </c>
      <c r="S382" s="341">
        <v>1</v>
      </c>
      <c r="T382" s="341" t="s">
        <v>440</v>
      </c>
      <c r="U382" s="341">
        <v>1</v>
      </c>
      <c r="V382" s="341" t="s">
        <v>478</v>
      </c>
      <c r="W382" s="341" t="s">
        <v>488</v>
      </c>
      <c r="X382" s="293" t="s">
        <v>491</v>
      </c>
      <c r="Y382" s="293" t="s">
        <v>490</v>
      </c>
      <c r="Z382" s="293">
        <v>5</v>
      </c>
      <c r="AA382" s="293" t="s">
        <v>489</v>
      </c>
      <c r="AB382" s="341" t="s">
        <v>439</v>
      </c>
      <c r="AC382" s="341">
        <v>3</v>
      </c>
      <c r="AD382" s="341" t="s">
        <v>463</v>
      </c>
      <c r="AE382" s="301">
        <v>2</v>
      </c>
      <c r="AF382" s="349" t="s">
        <v>464</v>
      </c>
    </row>
    <row r="383" spans="8:32">
      <c r="H383" s="340" t="s">
        <v>139</v>
      </c>
      <c r="I383" s="341" t="s">
        <v>462</v>
      </c>
      <c r="J383" s="350"/>
      <c r="K383" s="350"/>
      <c r="L383" s="350"/>
      <c r="M383" s="341" t="s">
        <v>445</v>
      </c>
      <c r="N383" s="341">
        <v>0.18</v>
      </c>
      <c r="O383" s="351" t="s">
        <v>464</v>
      </c>
      <c r="P383" s="341">
        <v>100</v>
      </c>
      <c r="Q383" s="341" t="s">
        <v>435</v>
      </c>
      <c r="R383" s="341">
        <v>20</v>
      </c>
      <c r="S383" s="341">
        <v>1</v>
      </c>
      <c r="T383" s="341" t="s">
        <v>438</v>
      </c>
      <c r="U383" s="341">
        <v>1</v>
      </c>
      <c r="V383" s="341" t="s">
        <v>540</v>
      </c>
      <c r="W383" s="341" t="s">
        <v>541</v>
      </c>
      <c r="X383" s="341" t="s">
        <v>542</v>
      </c>
      <c r="Y383" s="341" t="s">
        <v>490</v>
      </c>
      <c r="Z383" s="293" t="s">
        <v>542</v>
      </c>
      <c r="AA383" s="293" t="s">
        <v>543</v>
      </c>
      <c r="AB383" s="341" t="s">
        <v>439</v>
      </c>
      <c r="AC383" s="341">
        <v>6</v>
      </c>
      <c r="AD383" s="341" t="s">
        <v>463</v>
      </c>
      <c r="AE383" s="301">
        <v>2</v>
      </c>
      <c r="AF383" s="349" t="s">
        <v>464</v>
      </c>
    </row>
    <row r="384" spans="8:32">
      <c r="H384" s="340" t="s">
        <v>89</v>
      </c>
      <c r="I384" s="341" t="s">
        <v>462</v>
      </c>
      <c r="J384" s="350"/>
      <c r="K384" s="350"/>
      <c r="L384" s="350"/>
      <c r="M384" s="341" t="s">
        <v>445</v>
      </c>
      <c r="N384" s="341">
        <v>0.18</v>
      </c>
      <c r="O384" s="351" t="s">
        <v>464</v>
      </c>
      <c r="P384" s="341">
        <v>100</v>
      </c>
      <c r="Q384" s="341" t="s">
        <v>435</v>
      </c>
      <c r="R384" s="341">
        <v>20</v>
      </c>
      <c r="S384" s="341">
        <v>1</v>
      </c>
      <c r="T384" s="341" t="s">
        <v>438</v>
      </c>
      <c r="U384" s="341">
        <v>1</v>
      </c>
      <c r="V384" s="341" t="s">
        <v>540</v>
      </c>
      <c r="W384" s="341" t="s">
        <v>541</v>
      </c>
      <c r="X384" s="341" t="s">
        <v>542</v>
      </c>
      <c r="Y384" s="341" t="s">
        <v>490</v>
      </c>
      <c r="Z384" s="293" t="s">
        <v>542</v>
      </c>
      <c r="AA384" s="293" t="s">
        <v>543</v>
      </c>
      <c r="AB384" s="341" t="s">
        <v>439</v>
      </c>
      <c r="AC384" s="341">
        <v>6</v>
      </c>
      <c r="AD384" s="341" t="s">
        <v>463</v>
      </c>
      <c r="AE384" s="301">
        <v>2</v>
      </c>
      <c r="AF384" s="349" t="s">
        <v>464</v>
      </c>
    </row>
    <row r="385" spans="8:32">
      <c r="H385" s="340" t="s">
        <v>140</v>
      </c>
      <c r="I385" s="341" t="s">
        <v>462</v>
      </c>
      <c r="J385" s="350"/>
      <c r="K385" s="350"/>
      <c r="L385" s="350"/>
      <c r="M385" s="341" t="s">
        <v>445</v>
      </c>
      <c r="N385" s="341">
        <v>0.18</v>
      </c>
      <c r="O385" s="351" t="s">
        <v>464</v>
      </c>
      <c r="P385" s="341">
        <v>100</v>
      </c>
      <c r="Q385" s="341" t="s">
        <v>435</v>
      </c>
      <c r="R385" s="341">
        <v>20</v>
      </c>
      <c r="S385" s="341">
        <v>1</v>
      </c>
      <c r="T385" s="341" t="s">
        <v>438</v>
      </c>
      <c r="U385" s="341">
        <v>1</v>
      </c>
      <c r="V385" s="341" t="s">
        <v>540</v>
      </c>
      <c r="W385" s="341" t="s">
        <v>541</v>
      </c>
      <c r="X385" s="341" t="s">
        <v>542</v>
      </c>
      <c r="Y385" s="341" t="s">
        <v>490</v>
      </c>
      <c r="Z385" s="293" t="s">
        <v>542</v>
      </c>
      <c r="AA385" s="293" t="s">
        <v>543</v>
      </c>
      <c r="AB385" s="341" t="s">
        <v>439</v>
      </c>
      <c r="AC385" s="341">
        <v>6</v>
      </c>
      <c r="AD385" s="341" t="s">
        <v>463</v>
      </c>
      <c r="AE385" s="301">
        <v>2</v>
      </c>
      <c r="AF385" s="349" t="s">
        <v>464</v>
      </c>
    </row>
    <row r="386" spans="8:32">
      <c r="H386" s="340" t="s">
        <v>141</v>
      </c>
      <c r="I386" s="341" t="s">
        <v>462</v>
      </c>
      <c r="J386" s="350"/>
      <c r="K386" s="350"/>
      <c r="L386" s="350"/>
      <c r="M386" s="341" t="s">
        <v>445</v>
      </c>
      <c r="N386" s="341">
        <v>0.18</v>
      </c>
      <c r="O386" s="351" t="s">
        <v>464</v>
      </c>
      <c r="P386" s="341">
        <v>100</v>
      </c>
      <c r="Q386" s="341" t="s">
        <v>435</v>
      </c>
      <c r="R386" s="341">
        <v>20</v>
      </c>
      <c r="S386" s="341">
        <v>1</v>
      </c>
      <c r="T386" s="341" t="s">
        <v>438</v>
      </c>
      <c r="U386" s="341">
        <v>1</v>
      </c>
      <c r="V386" s="341" t="s">
        <v>540</v>
      </c>
      <c r="W386" s="341" t="s">
        <v>541</v>
      </c>
      <c r="X386" s="341" t="s">
        <v>542</v>
      </c>
      <c r="Y386" s="341" t="s">
        <v>490</v>
      </c>
      <c r="Z386" s="293" t="s">
        <v>542</v>
      </c>
      <c r="AA386" s="293" t="s">
        <v>543</v>
      </c>
      <c r="AB386" s="341" t="s">
        <v>439</v>
      </c>
      <c r="AC386" s="341">
        <v>6</v>
      </c>
      <c r="AD386" s="341" t="s">
        <v>463</v>
      </c>
      <c r="AE386" s="301">
        <v>2</v>
      </c>
      <c r="AF386" s="349" t="s">
        <v>464</v>
      </c>
    </row>
    <row r="387" spans="8:32">
      <c r="H387" s="340" t="s">
        <v>142</v>
      </c>
      <c r="I387" s="341" t="s">
        <v>462</v>
      </c>
      <c r="J387" s="350"/>
      <c r="K387" s="350"/>
      <c r="L387" s="350"/>
      <c r="M387" s="341" t="s">
        <v>445</v>
      </c>
      <c r="N387" s="341">
        <v>0.18</v>
      </c>
      <c r="O387" s="351" t="s">
        <v>464</v>
      </c>
      <c r="P387" s="341">
        <v>100</v>
      </c>
      <c r="Q387" s="341" t="s">
        <v>435</v>
      </c>
      <c r="R387" s="341">
        <v>20</v>
      </c>
      <c r="S387" s="341">
        <v>1</v>
      </c>
      <c r="T387" s="341" t="s">
        <v>438</v>
      </c>
      <c r="U387" s="341">
        <v>1</v>
      </c>
      <c r="V387" s="341" t="s">
        <v>540</v>
      </c>
      <c r="W387" s="341" t="s">
        <v>541</v>
      </c>
      <c r="X387" s="341" t="s">
        <v>542</v>
      </c>
      <c r="Y387" s="341" t="s">
        <v>490</v>
      </c>
      <c r="Z387" s="293" t="s">
        <v>542</v>
      </c>
      <c r="AA387" s="293" t="s">
        <v>543</v>
      </c>
      <c r="AB387" s="341" t="s">
        <v>439</v>
      </c>
      <c r="AC387" s="341">
        <v>6</v>
      </c>
      <c r="AD387" s="341" t="s">
        <v>463</v>
      </c>
      <c r="AE387" s="301">
        <v>2</v>
      </c>
      <c r="AF387" s="349" t="s">
        <v>464</v>
      </c>
    </row>
    <row r="388" spans="8:32">
      <c r="H388" s="340" t="s">
        <v>143</v>
      </c>
      <c r="I388" s="341" t="s">
        <v>462</v>
      </c>
      <c r="J388" s="350"/>
      <c r="K388" s="350"/>
      <c r="L388" s="350"/>
      <c r="M388" s="341" t="s">
        <v>445</v>
      </c>
      <c r="N388" s="341">
        <v>0.18</v>
      </c>
      <c r="O388" s="351" t="s">
        <v>464</v>
      </c>
      <c r="P388" s="341">
        <v>100</v>
      </c>
      <c r="Q388" s="341" t="s">
        <v>435</v>
      </c>
      <c r="R388" s="341">
        <v>20</v>
      </c>
      <c r="S388" s="341">
        <v>1</v>
      </c>
      <c r="T388" s="341" t="s">
        <v>438</v>
      </c>
      <c r="U388" s="341">
        <v>1</v>
      </c>
      <c r="V388" s="341" t="s">
        <v>540</v>
      </c>
      <c r="W388" s="341" t="s">
        <v>541</v>
      </c>
      <c r="X388" s="341" t="s">
        <v>542</v>
      </c>
      <c r="Y388" s="341" t="s">
        <v>490</v>
      </c>
      <c r="Z388" s="293" t="s">
        <v>542</v>
      </c>
      <c r="AA388" s="293" t="s">
        <v>543</v>
      </c>
      <c r="AB388" s="341" t="s">
        <v>439</v>
      </c>
      <c r="AC388" s="341">
        <v>6</v>
      </c>
      <c r="AD388" s="341" t="s">
        <v>463</v>
      </c>
      <c r="AE388" s="301">
        <v>2</v>
      </c>
      <c r="AF388" s="349" t="s">
        <v>464</v>
      </c>
    </row>
    <row r="389" spans="8:32">
      <c r="H389" s="340" t="s">
        <v>144</v>
      </c>
      <c r="I389" s="341" t="s">
        <v>462</v>
      </c>
      <c r="J389" s="350"/>
      <c r="K389" s="350"/>
      <c r="L389" s="350"/>
      <c r="M389" s="341" t="s">
        <v>445</v>
      </c>
      <c r="N389" s="341">
        <v>0.18</v>
      </c>
      <c r="O389" s="351" t="s">
        <v>464</v>
      </c>
      <c r="P389" s="341">
        <v>100</v>
      </c>
      <c r="Q389" s="341" t="s">
        <v>435</v>
      </c>
      <c r="R389" s="341">
        <v>20</v>
      </c>
      <c r="S389" s="341">
        <v>1</v>
      </c>
      <c r="T389" s="341" t="s">
        <v>438</v>
      </c>
      <c r="U389" s="341">
        <v>1</v>
      </c>
      <c r="V389" s="341" t="s">
        <v>540</v>
      </c>
      <c r="W389" s="341" t="s">
        <v>541</v>
      </c>
      <c r="X389" s="341" t="s">
        <v>542</v>
      </c>
      <c r="Y389" s="341" t="s">
        <v>490</v>
      </c>
      <c r="Z389" s="293" t="s">
        <v>542</v>
      </c>
      <c r="AA389" s="293" t="s">
        <v>543</v>
      </c>
      <c r="AB389" s="341" t="s">
        <v>439</v>
      </c>
      <c r="AC389" s="341">
        <v>6</v>
      </c>
      <c r="AD389" s="341" t="s">
        <v>463</v>
      </c>
      <c r="AE389" s="301">
        <v>2</v>
      </c>
      <c r="AF389" s="349" t="s">
        <v>464</v>
      </c>
    </row>
    <row r="390" spans="8:32">
      <c r="H390" s="340" t="s">
        <v>145</v>
      </c>
      <c r="I390" s="341" t="s">
        <v>462</v>
      </c>
      <c r="J390" s="350"/>
      <c r="K390" s="350"/>
      <c r="L390" s="350"/>
      <c r="M390" s="341" t="s">
        <v>445</v>
      </c>
      <c r="N390" s="341">
        <v>0.18</v>
      </c>
      <c r="O390" s="351" t="s">
        <v>464</v>
      </c>
      <c r="P390" s="341">
        <v>100</v>
      </c>
      <c r="Q390" s="341" t="s">
        <v>435</v>
      </c>
      <c r="R390" s="341">
        <v>20</v>
      </c>
      <c r="S390" s="341">
        <v>1</v>
      </c>
      <c r="T390" s="341" t="s">
        <v>438</v>
      </c>
      <c r="U390" s="341">
        <v>1</v>
      </c>
      <c r="V390" s="341" t="s">
        <v>540</v>
      </c>
      <c r="W390" s="341" t="s">
        <v>541</v>
      </c>
      <c r="X390" s="341" t="s">
        <v>542</v>
      </c>
      <c r="Y390" s="341" t="s">
        <v>490</v>
      </c>
      <c r="Z390" s="293" t="s">
        <v>542</v>
      </c>
      <c r="AA390" s="293" t="s">
        <v>543</v>
      </c>
      <c r="AB390" s="341" t="s">
        <v>439</v>
      </c>
      <c r="AC390" s="341">
        <v>6</v>
      </c>
      <c r="AD390" s="341" t="s">
        <v>463</v>
      </c>
      <c r="AE390" s="301">
        <v>2</v>
      </c>
      <c r="AF390" s="349" t="s">
        <v>464</v>
      </c>
    </row>
    <row r="391" spans="8:32">
      <c r="H391" s="340" t="s">
        <v>310</v>
      </c>
      <c r="I391" s="341" t="s">
        <v>462</v>
      </c>
      <c r="J391" s="350"/>
      <c r="K391" s="350"/>
      <c r="L391" s="350"/>
      <c r="M391" s="341" t="s">
        <v>445</v>
      </c>
      <c r="N391" s="341">
        <v>0.18</v>
      </c>
      <c r="O391" s="351" t="s">
        <v>464</v>
      </c>
      <c r="P391" s="341">
        <v>100</v>
      </c>
      <c r="Q391" s="341" t="s">
        <v>435</v>
      </c>
      <c r="R391" s="341">
        <v>20</v>
      </c>
      <c r="S391" s="341">
        <v>1</v>
      </c>
      <c r="T391" s="341" t="s">
        <v>438</v>
      </c>
      <c r="U391" s="341">
        <v>1</v>
      </c>
      <c r="V391" s="341" t="s">
        <v>540</v>
      </c>
      <c r="W391" s="341" t="s">
        <v>541</v>
      </c>
      <c r="X391" s="341" t="s">
        <v>542</v>
      </c>
      <c r="Y391" s="341" t="s">
        <v>490</v>
      </c>
      <c r="Z391" s="293" t="s">
        <v>542</v>
      </c>
      <c r="AA391" s="293" t="s">
        <v>543</v>
      </c>
      <c r="AB391" s="341" t="s">
        <v>439</v>
      </c>
      <c r="AC391" s="341">
        <v>6</v>
      </c>
      <c r="AD391" s="341" t="s">
        <v>463</v>
      </c>
      <c r="AE391" s="301">
        <v>2</v>
      </c>
      <c r="AF391" s="349" t="s">
        <v>464</v>
      </c>
    </row>
    <row r="392" spans="8:32">
      <c r="H392" s="340" t="s">
        <v>309</v>
      </c>
      <c r="I392" s="341" t="s">
        <v>462</v>
      </c>
      <c r="J392" s="350"/>
      <c r="K392" s="350"/>
      <c r="L392" s="350"/>
      <c r="M392" s="341" t="s">
        <v>445</v>
      </c>
      <c r="N392" s="341">
        <v>0.18</v>
      </c>
      <c r="O392" s="351" t="s">
        <v>464</v>
      </c>
      <c r="P392" s="341">
        <v>100</v>
      </c>
      <c r="Q392" s="341" t="s">
        <v>435</v>
      </c>
      <c r="R392" s="341">
        <v>20</v>
      </c>
      <c r="S392" s="341">
        <v>1</v>
      </c>
      <c r="T392" s="341" t="s">
        <v>438</v>
      </c>
      <c r="U392" s="341">
        <v>1</v>
      </c>
      <c r="V392" s="341" t="s">
        <v>540</v>
      </c>
      <c r="W392" s="341" t="s">
        <v>541</v>
      </c>
      <c r="X392" s="341" t="s">
        <v>542</v>
      </c>
      <c r="Y392" s="341" t="s">
        <v>490</v>
      </c>
      <c r="Z392" s="293" t="s">
        <v>542</v>
      </c>
      <c r="AA392" s="293" t="s">
        <v>543</v>
      </c>
      <c r="AB392" s="341" t="s">
        <v>439</v>
      </c>
      <c r="AC392" s="341">
        <v>6</v>
      </c>
      <c r="AD392" s="341" t="s">
        <v>463</v>
      </c>
      <c r="AE392" s="301">
        <v>2</v>
      </c>
      <c r="AF392" s="349" t="s">
        <v>464</v>
      </c>
    </row>
    <row r="393" spans="8:32">
      <c r="H393" s="340" t="s">
        <v>308</v>
      </c>
      <c r="I393" s="341" t="s">
        <v>462</v>
      </c>
      <c r="J393" s="350"/>
      <c r="K393" s="350"/>
      <c r="L393" s="350"/>
      <c r="M393" s="341" t="s">
        <v>445</v>
      </c>
      <c r="N393" s="341">
        <v>0.18</v>
      </c>
      <c r="O393" s="351" t="s">
        <v>464</v>
      </c>
      <c r="P393" s="341">
        <v>100</v>
      </c>
      <c r="Q393" s="341" t="s">
        <v>435</v>
      </c>
      <c r="R393" s="341">
        <v>20</v>
      </c>
      <c r="S393" s="341">
        <v>1</v>
      </c>
      <c r="T393" s="341" t="s">
        <v>438</v>
      </c>
      <c r="U393" s="341">
        <v>1</v>
      </c>
      <c r="V393" s="341" t="s">
        <v>540</v>
      </c>
      <c r="W393" s="341" t="s">
        <v>541</v>
      </c>
      <c r="X393" s="341" t="s">
        <v>542</v>
      </c>
      <c r="Y393" s="341" t="s">
        <v>490</v>
      </c>
      <c r="Z393" s="293" t="s">
        <v>542</v>
      </c>
      <c r="AA393" s="293" t="s">
        <v>543</v>
      </c>
      <c r="AB393" s="341" t="s">
        <v>439</v>
      </c>
      <c r="AC393" s="341">
        <v>6</v>
      </c>
      <c r="AD393" s="341" t="s">
        <v>463</v>
      </c>
      <c r="AE393" s="301">
        <v>2</v>
      </c>
      <c r="AF393" s="349" t="s">
        <v>464</v>
      </c>
    </row>
    <row r="394" spans="8:32">
      <c r="H394" s="340" t="s">
        <v>146</v>
      </c>
      <c r="I394" s="341" t="s">
        <v>462</v>
      </c>
      <c r="J394" s="350"/>
      <c r="K394" s="350"/>
      <c r="L394" s="350"/>
      <c r="M394" s="341" t="s">
        <v>445</v>
      </c>
      <c r="N394" s="341">
        <v>0.18</v>
      </c>
      <c r="O394" s="351" t="s">
        <v>464</v>
      </c>
      <c r="P394" s="341">
        <v>100</v>
      </c>
      <c r="Q394" s="341" t="s">
        <v>435</v>
      </c>
      <c r="R394" s="341">
        <v>20</v>
      </c>
      <c r="S394" s="341">
        <v>1</v>
      </c>
      <c r="T394" s="341" t="s">
        <v>438</v>
      </c>
      <c r="U394" s="341">
        <v>1</v>
      </c>
      <c r="V394" s="341" t="s">
        <v>540</v>
      </c>
      <c r="W394" s="341" t="s">
        <v>541</v>
      </c>
      <c r="X394" s="341" t="s">
        <v>542</v>
      </c>
      <c r="Y394" s="341" t="s">
        <v>490</v>
      </c>
      <c r="Z394" s="293" t="s">
        <v>542</v>
      </c>
      <c r="AA394" s="293" t="s">
        <v>543</v>
      </c>
      <c r="AB394" s="341" t="s">
        <v>439</v>
      </c>
      <c r="AC394" s="341">
        <v>6</v>
      </c>
      <c r="AD394" s="341" t="s">
        <v>463</v>
      </c>
      <c r="AE394" s="301">
        <v>2</v>
      </c>
      <c r="AF394" s="349" t="s">
        <v>464</v>
      </c>
    </row>
    <row r="395" spans="8:32">
      <c r="H395" s="340" t="s">
        <v>91</v>
      </c>
      <c r="I395" s="341" t="s">
        <v>462</v>
      </c>
      <c r="J395" s="350"/>
      <c r="K395" s="350"/>
      <c r="L395" s="350"/>
      <c r="M395" s="341" t="s">
        <v>445</v>
      </c>
      <c r="N395" s="341">
        <v>0.18</v>
      </c>
      <c r="O395" s="351" t="s">
        <v>464</v>
      </c>
      <c r="P395" s="341">
        <v>100</v>
      </c>
      <c r="Q395" s="341" t="s">
        <v>435</v>
      </c>
      <c r="R395" s="341">
        <v>20</v>
      </c>
      <c r="S395" s="341">
        <v>1</v>
      </c>
      <c r="T395" s="341" t="s">
        <v>440</v>
      </c>
      <c r="U395" s="341">
        <v>1</v>
      </c>
      <c r="V395" s="341" t="s">
        <v>478</v>
      </c>
      <c r="W395" s="341" t="s">
        <v>488</v>
      </c>
      <c r="X395" s="293" t="s">
        <v>491</v>
      </c>
      <c r="Y395" s="293" t="s">
        <v>490</v>
      </c>
      <c r="Z395" s="293">
        <v>5</v>
      </c>
      <c r="AA395" s="293" t="s">
        <v>489</v>
      </c>
      <c r="AB395" s="341" t="s">
        <v>439</v>
      </c>
      <c r="AC395" s="341">
        <v>3</v>
      </c>
      <c r="AD395" s="341" t="s">
        <v>463</v>
      </c>
      <c r="AE395" s="301">
        <v>2</v>
      </c>
      <c r="AF395" s="349" t="s">
        <v>464</v>
      </c>
    </row>
    <row r="396" spans="8:32">
      <c r="H396" s="340" t="s">
        <v>306</v>
      </c>
      <c r="I396" s="341" t="s">
        <v>462</v>
      </c>
      <c r="J396" s="350"/>
      <c r="K396" s="350"/>
      <c r="L396" s="350"/>
      <c r="M396" s="341" t="s">
        <v>445</v>
      </c>
      <c r="N396" s="341">
        <v>0.18</v>
      </c>
      <c r="O396" s="351" t="s">
        <v>464</v>
      </c>
      <c r="P396" s="341">
        <v>100</v>
      </c>
      <c r="Q396" s="341" t="s">
        <v>435</v>
      </c>
      <c r="R396" s="341">
        <v>20</v>
      </c>
      <c r="S396" s="341">
        <v>1</v>
      </c>
      <c r="T396" s="341" t="s">
        <v>440</v>
      </c>
      <c r="U396" s="341">
        <v>1</v>
      </c>
      <c r="V396" s="341" t="s">
        <v>478</v>
      </c>
      <c r="W396" s="341" t="s">
        <v>488</v>
      </c>
      <c r="X396" s="293" t="s">
        <v>491</v>
      </c>
      <c r="Y396" s="293" t="s">
        <v>490</v>
      </c>
      <c r="Z396" s="293">
        <v>5</v>
      </c>
      <c r="AA396" s="293" t="s">
        <v>489</v>
      </c>
      <c r="AB396" s="341" t="s">
        <v>439</v>
      </c>
      <c r="AC396" s="341">
        <v>3</v>
      </c>
      <c r="AD396" s="341" t="s">
        <v>463</v>
      </c>
      <c r="AE396" s="301">
        <v>2</v>
      </c>
      <c r="AF396" s="349" t="s">
        <v>464</v>
      </c>
    </row>
    <row r="397" spans="8:32">
      <c r="H397" s="340" t="s">
        <v>92</v>
      </c>
      <c r="I397" s="341" t="s">
        <v>462</v>
      </c>
      <c r="J397" s="350"/>
      <c r="K397" s="350"/>
      <c r="L397" s="350"/>
      <c r="M397" s="341" t="s">
        <v>445</v>
      </c>
      <c r="N397" s="341">
        <v>0.18</v>
      </c>
      <c r="O397" s="351" t="s">
        <v>464</v>
      </c>
      <c r="P397" s="341">
        <v>100</v>
      </c>
      <c r="Q397" s="341" t="s">
        <v>435</v>
      </c>
      <c r="R397" s="341">
        <v>20</v>
      </c>
      <c r="S397" s="341">
        <v>1</v>
      </c>
      <c r="T397" s="341" t="s">
        <v>440</v>
      </c>
      <c r="U397" s="341">
        <v>1</v>
      </c>
      <c r="V397" s="341" t="s">
        <v>478</v>
      </c>
      <c r="W397" s="341" t="s">
        <v>488</v>
      </c>
      <c r="X397" s="293" t="s">
        <v>491</v>
      </c>
      <c r="Y397" s="293" t="s">
        <v>490</v>
      </c>
      <c r="Z397" s="293">
        <v>5</v>
      </c>
      <c r="AA397" s="293" t="s">
        <v>489</v>
      </c>
      <c r="AB397" s="341" t="s">
        <v>439</v>
      </c>
      <c r="AC397" s="341">
        <v>3</v>
      </c>
      <c r="AD397" s="341" t="s">
        <v>463</v>
      </c>
      <c r="AE397" s="301">
        <v>2</v>
      </c>
      <c r="AF397" s="349" t="s">
        <v>464</v>
      </c>
    </row>
    <row r="398" spans="8:32">
      <c r="H398" s="340" t="s">
        <v>93</v>
      </c>
      <c r="I398" s="341" t="s">
        <v>462</v>
      </c>
      <c r="J398" s="350"/>
      <c r="K398" s="350"/>
      <c r="L398" s="350"/>
      <c r="M398" s="341" t="s">
        <v>445</v>
      </c>
      <c r="N398" s="341">
        <v>0.18</v>
      </c>
      <c r="O398" s="351" t="s">
        <v>464</v>
      </c>
      <c r="P398" s="341">
        <v>100</v>
      </c>
      <c r="Q398" s="341" t="s">
        <v>435</v>
      </c>
      <c r="R398" s="341">
        <v>20</v>
      </c>
      <c r="S398" s="341">
        <v>1</v>
      </c>
      <c r="T398" s="341" t="s">
        <v>440</v>
      </c>
      <c r="U398" s="341">
        <v>1</v>
      </c>
      <c r="V398" s="341" t="s">
        <v>478</v>
      </c>
      <c r="W398" s="341" t="s">
        <v>488</v>
      </c>
      <c r="X398" s="293" t="s">
        <v>491</v>
      </c>
      <c r="Y398" s="293" t="s">
        <v>490</v>
      </c>
      <c r="Z398" s="293">
        <v>5</v>
      </c>
      <c r="AA398" s="293" t="s">
        <v>489</v>
      </c>
      <c r="AB398" s="341" t="s">
        <v>439</v>
      </c>
      <c r="AC398" s="341">
        <v>3</v>
      </c>
      <c r="AD398" s="341" t="s">
        <v>463</v>
      </c>
      <c r="AE398" s="301">
        <v>2</v>
      </c>
      <c r="AF398" s="349" t="s">
        <v>464</v>
      </c>
    </row>
    <row r="399" spans="8:32">
      <c r="H399" s="340" t="s">
        <v>94</v>
      </c>
      <c r="I399" s="341" t="s">
        <v>462</v>
      </c>
      <c r="J399" s="350"/>
      <c r="K399" s="350"/>
      <c r="L399" s="350"/>
      <c r="M399" s="341" t="s">
        <v>445</v>
      </c>
      <c r="N399" s="341">
        <v>0.18</v>
      </c>
      <c r="O399" s="351" t="s">
        <v>464</v>
      </c>
      <c r="P399" s="341">
        <v>100</v>
      </c>
      <c r="Q399" s="341" t="s">
        <v>435</v>
      </c>
      <c r="R399" s="341">
        <v>20</v>
      </c>
      <c r="S399" s="341">
        <v>1</v>
      </c>
      <c r="T399" s="341" t="s">
        <v>438</v>
      </c>
      <c r="U399" s="341">
        <v>1</v>
      </c>
      <c r="V399" s="341" t="s">
        <v>540</v>
      </c>
      <c r="W399" s="341" t="s">
        <v>541</v>
      </c>
      <c r="X399" s="341" t="s">
        <v>542</v>
      </c>
      <c r="Y399" s="341" t="s">
        <v>490</v>
      </c>
      <c r="Z399" s="293" t="s">
        <v>542</v>
      </c>
      <c r="AA399" s="293" t="s">
        <v>543</v>
      </c>
      <c r="AB399" s="341" t="s">
        <v>439</v>
      </c>
      <c r="AC399" s="341">
        <v>6</v>
      </c>
      <c r="AD399" s="341" t="s">
        <v>463</v>
      </c>
      <c r="AE399" s="301">
        <v>2</v>
      </c>
      <c r="AF399" s="349" t="s">
        <v>464</v>
      </c>
    </row>
    <row r="400" spans="8:32">
      <c r="H400" s="340" t="s">
        <v>155</v>
      </c>
      <c r="I400" s="341" t="s">
        <v>462</v>
      </c>
      <c r="J400" s="350"/>
      <c r="K400" s="350"/>
      <c r="L400" s="350"/>
      <c r="M400" s="341" t="s">
        <v>445</v>
      </c>
      <c r="N400" s="341">
        <v>0.18</v>
      </c>
      <c r="O400" s="351" t="s">
        <v>464</v>
      </c>
      <c r="P400" s="341">
        <v>100</v>
      </c>
      <c r="Q400" s="341" t="s">
        <v>435</v>
      </c>
      <c r="R400" s="341">
        <v>20</v>
      </c>
      <c r="S400" s="341">
        <v>1</v>
      </c>
      <c r="T400" s="341" t="s">
        <v>440</v>
      </c>
      <c r="U400" s="341">
        <v>1</v>
      </c>
      <c r="V400" s="341" t="s">
        <v>478</v>
      </c>
      <c r="W400" s="341" t="s">
        <v>488</v>
      </c>
      <c r="X400" s="293" t="s">
        <v>491</v>
      </c>
      <c r="Y400" s="293" t="s">
        <v>490</v>
      </c>
      <c r="Z400" s="293">
        <v>5</v>
      </c>
      <c r="AA400" s="293" t="s">
        <v>489</v>
      </c>
      <c r="AB400" s="341" t="s">
        <v>439</v>
      </c>
      <c r="AC400" s="341">
        <v>3</v>
      </c>
      <c r="AD400" s="341" t="s">
        <v>463</v>
      </c>
      <c r="AE400" s="301">
        <v>2</v>
      </c>
      <c r="AF400" s="349" t="s">
        <v>464</v>
      </c>
    </row>
    <row r="401" spans="8:32">
      <c r="H401" s="340" t="s">
        <v>156</v>
      </c>
      <c r="I401" s="341" t="s">
        <v>462</v>
      </c>
      <c r="J401" s="350"/>
      <c r="K401" s="350"/>
      <c r="L401" s="350"/>
      <c r="M401" s="341" t="s">
        <v>445</v>
      </c>
      <c r="N401" s="341">
        <v>0.18</v>
      </c>
      <c r="O401" s="351" t="s">
        <v>464</v>
      </c>
      <c r="P401" s="341">
        <v>100</v>
      </c>
      <c r="Q401" s="341" t="s">
        <v>435</v>
      </c>
      <c r="R401" s="341">
        <v>20</v>
      </c>
      <c r="S401" s="341">
        <v>1</v>
      </c>
      <c r="T401" s="341" t="s">
        <v>440</v>
      </c>
      <c r="U401" s="341">
        <v>1</v>
      </c>
      <c r="V401" s="341" t="s">
        <v>478</v>
      </c>
      <c r="W401" s="341" t="s">
        <v>488</v>
      </c>
      <c r="X401" s="293" t="s">
        <v>491</v>
      </c>
      <c r="Y401" s="293" t="s">
        <v>490</v>
      </c>
      <c r="Z401" s="293">
        <v>5</v>
      </c>
      <c r="AA401" s="293" t="s">
        <v>489</v>
      </c>
      <c r="AB401" s="341" t="s">
        <v>439</v>
      </c>
      <c r="AC401" s="341">
        <v>3</v>
      </c>
      <c r="AD401" s="341" t="s">
        <v>463</v>
      </c>
      <c r="AE401" s="301">
        <v>2</v>
      </c>
      <c r="AF401" s="349" t="s">
        <v>464</v>
      </c>
    </row>
    <row r="402" spans="8:32">
      <c r="H402" s="340" t="s">
        <v>96</v>
      </c>
      <c r="I402" s="341" t="s">
        <v>462</v>
      </c>
      <c r="J402" s="350"/>
      <c r="K402" s="350"/>
      <c r="L402" s="350"/>
      <c r="M402" s="341" t="s">
        <v>445</v>
      </c>
      <c r="N402" s="341">
        <v>0.18</v>
      </c>
      <c r="O402" s="351" t="s">
        <v>464</v>
      </c>
      <c r="P402" s="341">
        <v>100</v>
      </c>
      <c r="Q402" s="341" t="s">
        <v>435</v>
      </c>
      <c r="R402" s="341">
        <v>20</v>
      </c>
      <c r="S402" s="341">
        <v>1</v>
      </c>
      <c r="T402" s="341" t="s">
        <v>440</v>
      </c>
      <c r="U402" s="341">
        <v>1</v>
      </c>
      <c r="V402" s="341" t="s">
        <v>478</v>
      </c>
      <c r="W402" s="341" t="s">
        <v>488</v>
      </c>
      <c r="X402" s="293" t="s">
        <v>491</v>
      </c>
      <c r="Y402" s="293" t="s">
        <v>490</v>
      </c>
      <c r="Z402" s="293">
        <v>5</v>
      </c>
      <c r="AA402" s="293" t="s">
        <v>489</v>
      </c>
      <c r="AB402" s="341" t="s">
        <v>439</v>
      </c>
      <c r="AC402" s="341">
        <v>3</v>
      </c>
      <c r="AD402" s="341" t="s">
        <v>463</v>
      </c>
      <c r="AE402" s="301">
        <v>2</v>
      </c>
      <c r="AF402" s="349" t="s">
        <v>464</v>
      </c>
    </row>
    <row r="403" spans="8:32">
      <c r="H403" s="340" t="s">
        <v>97</v>
      </c>
      <c r="I403" s="341" t="s">
        <v>462</v>
      </c>
      <c r="J403" s="350"/>
      <c r="K403" s="350"/>
      <c r="L403" s="350"/>
      <c r="M403" s="341" t="s">
        <v>445</v>
      </c>
      <c r="N403" s="341">
        <v>0.18</v>
      </c>
      <c r="O403" s="351" t="s">
        <v>464</v>
      </c>
      <c r="P403" s="341">
        <v>100</v>
      </c>
      <c r="Q403" s="341" t="s">
        <v>435</v>
      </c>
      <c r="R403" s="341">
        <v>20</v>
      </c>
      <c r="S403" s="341">
        <v>1</v>
      </c>
      <c r="T403" s="341" t="s">
        <v>440</v>
      </c>
      <c r="U403" s="341">
        <v>1</v>
      </c>
      <c r="V403" s="341" t="s">
        <v>478</v>
      </c>
      <c r="W403" s="341" t="s">
        <v>488</v>
      </c>
      <c r="X403" s="293" t="s">
        <v>491</v>
      </c>
      <c r="Y403" s="293" t="s">
        <v>490</v>
      </c>
      <c r="Z403" s="293">
        <v>5</v>
      </c>
      <c r="AA403" s="293" t="s">
        <v>489</v>
      </c>
      <c r="AB403" s="341" t="s">
        <v>439</v>
      </c>
      <c r="AC403" s="341">
        <v>3</v>
      </c>
      <c r="AD403" s="341" t="s">
        <v>463</v>
      </c>
      <c r="AE403" s="301">
        <v>2</v>
      </c>
      <c r="AF403" s="349" t="s">
        <v>464</v>
      </c>
    </row>
    <row r="404" spans="8:32">
      <c r="H404" s="340" t="s">
        <v>98</v>
      </c>
      <c r="I404" s="341" t="s">
        <v>462</v>
      </c>
      <c r="J404" s="350"/>
      <c r="K404" s="350"/>
      <c r="L404" s="350"/>
      <c r="M404" s="341" t="s">
        <v>445</v>
      </c>
      <c r="N404" s="341">
        <v>0.18</v>
      </c>
      <c r="O404" s="351" t="s">
        <v>464</v>
      </c>
      <c r="P404" s="341">
        <v>100</v>
      </c>
      <c r="Q404" s="341" t="s">
        <v>435</v>
      </c>
      <c r="R404" s="341">
        <v>20</v>
      </c>
      <c r="S404" s="341">
        <v>1</v>
      </c>
      <c r="T404" s="341" t="s">
        <v>440</v>
      </c>
      <c r="U404" s="341">
        <v>1</v>
      </c>
      <c r="V404" s="341" t="s">
        <v>478</v>
      </c>
      <c r="W404" s="341" t="s">
        <v>488</v>
      </c>
      <c r="X404" s="293" t="s">
        <v>491</v>
      </c>
      <c r="Y404" s="293" t="s">
        <v>490</v>
      </c>
      <c r="Z404" s="293">
        <v>5</v>
      </c>
      <c r="AA404" s="293" t="s">
        <v>489</v>
      </c>
      <c r="AB404" s="341" t="s">
        <v>439</v>
      </c>
      <c r="AC404" s="341">
        <v>3</v>
      </c>
      <c r="AD404" s="341" t="s">
        <v>463</v>
      </c>
      <c r="AE404" s="301">
        <v>2</v>
      </c>
      <c r="AF404" s="349" t="s">
        <v>464</v>
      </c>
    </row>
    <row r="405" spans="8:32">
      <c r="H405" s="340" t="s">
        <v>304</v>
      </c>
      <c r="I405" s="341" t="s">
        <v>462</v>
      </c>
      <c r="J405" s="350"/>
      <c r="K405" s="350"/>
      <c r="L405" s="350"/>
      <c r="M405" s="341" t="s">
        <v>445</v>
      </c>
      <c r="N405" s="341">
        <v>0.18</v>
      </c>
      <c r="O405" s="351" t="s">
        <v>464</v>
      </c>
      <c r="P405" s="341">
        <v>100</v>
      </c>
      <c r="Q405" s="341" t="s">
        <v>435</v>
      </c>
      <c r="R405" s="341">
        <v>20</v>
      </c>
      <c r="S405" s="341">
        <v>1</v>
      </c>
      <c r="T405" s="341" t="s">
        <v>440</v>
      </c>
      <c r="U405" s="341">
        <v>1</v>
      </c>
      <c r="V405" s="341" t="s">
        <v>478</v>
      </c>
      <c r="W405" s="341" t="s">
        <v>488</v>
      </c>
      <c r="X405" s="293" t="s">
        <v>491</v>
      </c>
      <c r="Y405" s="293" t="s">
        <v>490</v>
      </c>
      <c r="Z405" s="293">
        <v>5</v>
      </c>
      <c r="AA405" s="293" t="s">
        <v>489</v>
      </c>
      <c r="AB405" s="341" t="s">
        <v>439</v>
      </c>
      <c r="AC405" s="341">
        <v>3</v>
      </c>
      <c r="AD405" s="341" t="s">
        <v>463</v>
      </c>
      <c r="AE405" s="301">
        <v>2</v>
      </c>
      <c r="AF405" s="349" t="s">
        <v>464</v>
      </c>
    </row>
    <row r="406" spans="8:32">
      <c r="H406" s="340" t="s">
        <v>102</v>
      </c>
      <c r="I406" s="341" t="s">
        <v>462</v>
      </c>
      <c r="J406" s="350"/>
      <c r="K406" s="350"/>
      <c r="L406" s="350"/>
      <c r="M406" s="341" t="s">
        <v>445</v>
      </c>
      <c r="N406" s="341">
        <v>0.18</v>
      </c>
      <c r="O406" s="351" t="s">
        <v>464</v>
      </c>
      <c r="P406" s="341">
        <v>100</v>
      </c>
      <c r="Q406" s="341" t="s">
        <v>435</v>
      </c>
      <c r="R406" s="341">
        <v>20</v>
      </c>
      <c r="S406" s="341">
        <v>1</v>
      </c>
      <c r="T406" s="341" t="s">
        <v>440</v>
      </c>
      <c r="U406" s="341">
        <v>1</v>
      </c>
      <c r="V406" s="341" t="s">
        <v>478</v>
      </c>
      <c r="W406" s="341" t="s">
        <v>488</v>
      </c>
      <c r="X406" s="293" t="s">
        <v>491</v>
      </c>
      <c r="Y406" s="293" t="s">
        <v>490</v>
      </c>
      <c r="Z406" s="293">
        <v>5</v>
      </c>
      <c r="AA406" s="293" t="s">
        <v>489</v>
      </c>
      <c r="AB406" s="341" t="s">
        <v>439</v>
      </c>
      <c r="AC406" s="341">
        <v>3</v>
      </c>
      <c r="AD406" s="341" t="s">
        <v>463</v>
      </c>
      <c r="AE406" s="301">
        <v>2</v>
      </c>
      <c r="AF406" s="349" t="s">
        <v>464</v>
      </c>
    </row>
    <row r="407" spans="8:32">
      <c r="H407" s="340" t="s">
        <v>103</v>
      </c>
      <c r="I407" s="341" t="s">
        <v>462</v>
      </c>
      <c r="J407" s="350"/>
      <c r="K407" s="350"/>
      <c r="L407" s="350"/>
      <c r="M407" s="341" t="s">
        <v>445</v>
      </c>
      <c r="N407" s="341">
        <v>0.18</v>
      </c>
      <c r="O407" s="351" t="s">
        <v>464</v>
      </c>
      <c r="P407" s="341">
        <v>100</v>
      </c>
      <c r="Q407" s="341" t="s">
        <v>435</v>
      </c>
      <c r="R407" s="341">
        <v>20</v>
      </c>
      <c r="S407" s="341">
        <v>1</v>
      </c>
      <c r="T407" s="341" t="s">
        <v>440</v>
      </c>
      <c r="U407" s="341">
        <v>1</v>
      </c>
      <c r="V407" s="341" t="s">
        <v>478</v>
      </c>
      <c r="W407" s="341" t="s">
        <v>488</v>
      </c>
      <c r="X407" s="293" t="s">
        <v>491</v>
      </c>
      <c r="Y407" s="293" t="s">
        <v>490</v>
      </c>
      <c r="Z407" s="293">
        <v>5</v>
      </c>
      <c r="AA407" s="293" t="s">
        <v>489</v>
      </c>
      <c r="AB407" s="341" t="s">
        <v>439</v>
      </c>
      <c r="AC407" s="341">
        <v>3</v>
      </c>
      <c r="AD407" s="341" t="s">
        <v>463</v>
      </c>
      <c r="AE407" s="301">
        <v>2</v>
      </c>
      <c r="AF407" s="349" t="s">
        <v>464</v>
      </c>
    </row>
    <row r="408" spans="8:32">
      <c r="H408" s="340" t="s">
        <v>104</v>
      </c>
      <c r="I408" s="341" t="s">
        <v>462</v>
      </c>
      <c r="J408" s="350"/>
      <c r="K408" s="350"/>
      <c r="L408" s="350"/>
      <c r="M408" s="341" t="s">
        <v>445</v>
      </c>
      <c r="N408" s="341">
        <v>0.18</v>
      </c>
      <c r="O408" s="351" t="s">
        <v>464</v>
      </c>
      <c r="P408" s="341">
        <v>100</v>
      </c>
      <c r="Q408" s="341" t="s">
        <v>435</v>
      </c>
      <c r="R408" s="341">
        <v>20</v>
      </c>
      <c r="S408" s="341">
        <v>1</v>
      </c>
      <c r="T408" s="341" t="s">
        <v>440</v>
      </c>
      <c r="U408" s="341">
        <v>1</v>
      </c>
      <c r="V408" s="341" t="s">
        <v>478</v>
      </c>
      <c r="W408" s="341" t="s">
        <v>488</v>
      </c>
      <c r="X408" s="293" t="s">
        <v>491</v>
      </c>
      <c r="Y408" s="293" t="s">
        <v>490</v>
      </c>
      <c r="Z408" s="293">
        <v>5</v>
      </c>
      <c r="AA408" s="293" t="s">
        <v>489</v>
      </c>
      <c r="AB408" s="341" t="s">
        <v>439</v>
      </c>
      <c r="AC408" s="341">
        <v>3</v>
      </c>
      <c r="AD408" s="341" t="s">
        <v>463</v>
      </c>
      <c r="AE408" s="301">
        <v>2</v>
      </c>
      <c r="AF408" s="349" t="s">
        <v>464</v>
      </c>
    </row>
    <row r="409" spans="8:32">
      <c r="H409" s="340" t="s">
        <v>303</v>
      </c>
      <c r="I409" s="341" t="s">
        <v>462</v>
      </c>
      <c r="J409" s="350"/>
      <c r="K409" s="350"/>
      <c r="L409" s="350"/>
      <c r="M409" s="341" t="s">
        <v>445</v>
      </c>
      <c r="N409" s="341">
        <v>0.18</v>
      </c>
      <c r="O409" s="351" t="s">
        <v>464</v>
      </c>
      <c r="P409" s="341">
        <v>100</v>
      </c>
      <c r="Q409" s="341" t="s">
        <v>435</v>
      </c>
      <c r="R409" s="341">
        <v>20</v>
      </c>
      <c r="S409" s="341">
        <v>1</v>
      </c>
      <c r="T409" s="341" t="s">
        <v>440</v>
      </c>
      <c r="U409" s="341">
        <v>1</v>
      </c>
      <c r="V409" s="341" t="s">
        <v>478</v>
      </c>
      <c r="W409" s="341" t="s">
        <v>488</v>
      </c>
      <c r="X409" s="293" t="s">
        <v>491</v>
      </c>
      <c r="Y409" s="293" t="s">
        <v>490</v>
      </c>
      <c r="Z409" s="293">
        <v>5</v>
      </c>
      <c r="AA409" s="293" t="s">
        <v>489</v>
      </c>
      <c r="AB409" s="341" t="s">
        <v>439</v>
      </c>
      <c r="AC409" s="341">
        <v>3</v>
      </c>
      <c r="AD409" s="341" t="s">
        <v>463</v>
      </c>
      <c r="AE409" s="301">
        <v>2</v>
      </c>
      <c r="AF409" s="349" t="s">
        <v>464</v>
      </c>
    </row>
    <row r="410" spans="8:32">
      <c r="H410" s="340" t="s">
        <v>105</v>
      </c>
      <c r="I410" s="341" t="s">
        <v>462</v>
      </c>
      <c r="J410" s="350"/>
      <c r="K410" s="350"/>
      <c r="L410" s="350"/>
      <c r="M410" s="341" t="s">
        <v>445</v>
      </c>
      <c r="N410" s="341">
        <v>0.18</v>
      </c>
      <c r="O410" s="351" t="s">
        <v>464</v>
      </c>
      <c r="P410" s="341">
        <v>100</v>
      </c>
      <c r="Q410" s="341" t="s">
        <v>435</v>
      </c>
      <c r="R410" s="341">
        <v>20</v>
      </c>
      <c r="S410" s="341">
        <v>1</v>
      </c>
      <c r="T410" s="341" t="s">
        <v>440</v>
      </c>
      <c r="U410" s="341">
        <v>1</v>
      </c>
      <c r="V410" s="341" t="s">
        <v>478</v>
      </c>
      <c r="W410" s="341" t="s">
        <v>488</v>
      </c>
      <c r="X410" s="293" t="s">
        <v>491</v>
      </c>
      <c r="Y410" s="293" t="s">
        <v>490</v>
      </c>
      <c r="Z410" s="293">
        <v>5</v>
      </c>
      <c r="AA410" s="293" t="s">
        <v>489</v>
      </c>
      <c r="AB410" s="341" t="s">
        <v>439</v>
      </c>
      <c r="AC410" s="341">
        <v>3</v>
      </c>
      <c r="AD410" s="341" t="s">
        <v>463</v>
      </c>
      <c r="AE410" s="301">
        <v>2</v>
      </c>
      <c r="AF410" s="349" t="s">
        <v>464</v>
      </c>
    </row>
    <row r="411" spans="8:32">
      <c r="H411" s="340" t="s">
        <v>106</v>
      </c>
      <c r="I411" s="341" t="s">
        <v>462</v>
      </c>
      <c r="J411" s="350"/>
      <c r="K411" s="350"/>
      <c r="L411" s="350"/>
      <c r="M411" s="341" t="s">
        <v>445</v>
      </c>
      <c r="N411" s="341">
        <v>0.18</v>
      </c>
      <c r="O411" s="351" t="s">
        <v>464</v>
      </c>
      <c r="P411" s="341">
        <v>100</v>
      </c>
      <c r="Q411" s="341" t="s">
        <v>435</v>
      </c>
      <c r="R411" s="341">
        <v>20</v>
      </c>
      <c r="S411" s="341">
        <v>1</v>
      </c>
      <c r="T411" s="341" t="s">
        <v>440</v>
      </c>
      <c r="U411" s="341">
        <v>1</v>
      </c>
      <c r="V411" s="341" t="s">
        <v>478</v>
      </c>
      <c r="W411" s="341" t="s">
        <v>488</v>
      </c>
      <c r="X411" s="293" t="s">
        <v>491</v>
      </c>
      <c r="Y411" s="293" t="s">
        <v>490</v>
      </c>
      <c r="Z411" s="293">
        <v>5</v>
      </c>
      <c r="AA411" s="293" t="s">
        <v>489</v>
      </c>
      <c r="AB411" s="341" t="s">
        <v>439</v>
      </c>
      <c r="AC411" s="341">
        <v>3</v>
      </c>
      <c r="AD411" s="341" t="s">
        <v>463</v>
      </c>
      <c r="AE411" s="301">
        <v>2</v>
      </c>
      <c r="AF411" s="349" t="s">
        <v>464</v>
      </c>
    </row>
    <row r="412" spans="8:32">
      <c r="H412" s="340" t="s">
        <v>158</v>
      </c>
      <c r="I412" s="341" t="s">
        <v>462</v>
      </c>
      <c r="J412" s="350"/>
      <c r="K412" s="350"/>
      <c r="L412" s="350"/>
      <c r="M412" s="341" t="s">
        <v>445</v>
      </c>
      <c r="N412" s="341">
        <v>0.18</v>
      </c>
      <c r="O412" s="351" t="s">
        <v>464</v>
      </c>
      <c r="P412" s="341">
        <v>100</v>
      </c>
      <c r="Q412" s="341" t="s">
        <v>435</v>
      </c>
      <c r="R412" s="341">
        <v>20</v>
      </c>
      <c r="S412" s="341">
        <v>1</v>
      </c>
      <c r="T412" s="341" t="s">
        <v>438</v>
      </c>
      <c r="U412" s="341">
        <v>1</v>
      </c>
      <c r="V412" s="341" t="s">
        <v>540</v>
      </c>
      <c r="W412" s="341" t="s">
        <v>541</v>
      </c>
      <c r="X412" s="341" t="s">
        <v>542</v>
      </c>
      <c r="Y412" s="341" t="s">
        <v>490</v>
      </c>
      <c r="Z412" s="293" t="s">
        <v>542</v>
      </c>
      <c r="AA412" s="293" t="s">
        <v>543</v>
      </c>
      <c r="AB412" s="341" t="s">
        <v>439</v>
      </c>
      <c r="AC412" s="341">
        <v>6</v>
      </c>
      <c r="AD412" s="341" t="s">
        <v>463</v>
      </c>
      <c r="AE412" s="301">
        <v>2</v>
      </c>
      <c r="AF412" s="349" t="s">
        <v>464</v>
      </c>
    </row>
    <row r="413" spans="8:32">
      <c r="H413" s="340" t="s">
        <v>159</v>
      </c>
      <c r="I413" s="341" t="s">
        <v>462</v>
      </c>
      <c r="J413" s="350"/>
      <c r="K413" s="350"/>
      <c r="L413" s="350"/>
      <c r="M413" s="341" t="s">
        <v>445</v>
      </c>
      <c r="N413" s="341">
        <v>0.18</v>
      </c>
      <c r="O413" s="351" t="s">
        <v>464</v>
      </c>
      <c r="P413" s="341">
        <v>100</v>
      </c>
      <c r="Q413" s="341" t="s">
        <v>435</v>
      </c>
      <c r="R413" s="341">
        <v>20</v>
      </c>
      <c r="S413" s="341">
        <v>1</v>
      </c>
      <c r="T413" s="341" t="s">
        <v>438</v>
      </c>
      <c r="U413" s="341">
        <v>1</v>
      </c>
      <c r="V413" s="341" t="s">
        <v>540</v>
      </c>
      <c r="W413" s="341" t="s">
        <v>541</v>
      </c>
      <c r="X413" s="341" t="s">
        <v>542</v>
      </c>
      <c r="Y413" s="341" t="s">
        <v>490</v>
      </c>
      <c r="Z413" s="293" t="s">
        <v>542</v>
      </c>
      <c r="AA413" s="293" t="s">
        <v>543</v>
      </c>
      <c r="AB413" s="341" t="s">
        <v>439</v>
      </c>
      <c r="AC413" s="341">
        <v>6</v>
      </c>
      <c r="AD413" s="341" t="s">
        <v>463</v>
      </c>
      <c r="AE413" s="301">
        <v>2</v>
      </c>
      <c r="AF413" s="349" t="s">
        <v>464</v>
      </c>
    </row>
    <row r="414" spans="8:32">
      <c r="H414" s="340" t="s">
        <v>119</v>
      </c>
      <c r="I414" s="341" t="s">
        <v>462</v>
      </c>
      <c r="J414" s="350"/>
      <c r="K414" s="350"/>
      <c r="L414" s="350"/>
      <c r="M414" s="341" t="s">
        <v>445</v>
      </c>
      <c r="N414" s="341">
        <v>0.18</v>
      </c>
      <c r="O414" s="351" t="s">
        <v>464</v>
      </c>
      <c r="P414" s="341">
        <v>100</v>
      </c>
      <c r="Q414" s="341" t="s">
        <v>435</v>
      </c>
      <c r="R414" s="341">
        <v>20</v>
      </c>
      <c r="S414" s="341">
        <v>1</v>
      </c>
      <c r="T414" s="341" t="s">
        <v>440</v>
      </c>
      <c r="U414" s="341">
        <v>1</v>
      </c>
      <c r="V414" s="341" t="s">
        <v>478</v>
      </c>
      <c r="W414" s="341" t="s">
        <v>488</v>
      </c>
      <c r="X414" s="293" t="s">
        <v>491</v>
      </c>
      <c r="Y414" s="293" t="s">
        <v>490</v>
      </c>
      <c r="Z414" s="293">
        <v>5</v>
      </c>
      <c r="AA414" s="293" t="s">
        <v>489</v>
      </c>
      <c r="AB414" s="341" t="s">
        <v>439</v>
      </c>
      <c r="AC414" s="341">
        <v>1</v>
      </c>
      <c r="AD414" s="341" t="s">
        <v>463</v>
      </c>
      <c r="AE414" s="301">
        <v>2</v>
      </c>
      <c r="AF414" s="349" t="s">
        <v>464</v>
      </c>
    </row>
    <row r="415" spans="8:32">
      <c r="H415" s="340" t="s">
        <v>81</v>
      </c>
      <c r="I415" s="341" t="s">
        <v>462</v>
      </c>
      <c r="J415" s="350"/>
      <c r="K415" s="350"/>
      <c r="L415" s="350"/>
      <c r="M415" s="341" t="s">
        <v>445</v>
      </c>
      <c r="N415" s="341">
        <v>0.18</v>
      </c>
      <c r="O415" s="351" t="s">
        <v>464</v>
      </c>
      <c r="P415" s="341">
        <v>100</v>
      </c>
      <c r="Q415" s="341" t="s">
        <v>435</v>
      </c>
      <c r="R415" s="341">
        <v>20</v>
      </c>
      <c r="S415" s="341">
        <v>1</v>
      </c>
      <c r="T415" s="341" t="s">
        <v>440</v>
      </c>
      <c r="U415" s="341">
        <v>1</v>
      </c>
      <c r="V415" s="341" t="s">
        <v>478</v>
      </c>
      <c r="W415" s="341" t="s">
        <v>488</v>
      </c>
      <c r="X415" s="293" t="s">
        <v>491</v>
      </c>
      <c r="Y415" s="293" t="s">
        <v>490</v>
      </c>
      <c r="Z415" s="293">
        <v>5</v>
      </c>
      <c r="AA415" s="293" t="s">
        <v>489</v>
      </c>
      <c r="AB415" s="341" t="s">
        <v>439</v>
      </c>
      <c r="AC415" s="341">
        <v>1</v>
      </c>
      <c r="AD415" s="341" t="s">
        <v>463</v>
      </c>
      <c r="AE415" s="301">
        <v>2</v>
      </c>
      <c r="AF415" s="349" t="s">
        <v>464</v>
      </c>
    </row>
    <row r="416" spans="8:32">
      <c r="H416" s="347" t="s">
        <v>122</v>
      </c>
      <c r="I416" s="341" t="s">
        <v>462</v>
      </c>
      <c r="J416" s="350"/>
      <c r="K416" s="350"/>
      <c r="L416" s="350"/>
      <c r="M416" s="341" t="s">
        <v>445</v>
      </c>
      <c r="N416" s="341">
        <v>0.18</v>
      </c>
      <c r="O416" s="351" t="s">
        <v>464</v>
      </c>
      <c r="P416" s="341">
        <v>100</v>
      </c>
      <c r="Q416" s="341" t="s">
        <v>435</v>
      </c>
      <c r="R416" s="341">
        <v>20</v>
      </c>
      <c r="S416" s="341">
        <v>1</v>
      </c>
      <c r="T416" s="341" t="s">
        <v>440</v>
      </c>
      <c r="U416" s="341">
        <v>1</v>
      </c>
      <c r="V416" s="341" t="s">
        <v>478</v>
      </c>
      <c r="W416" s="341" t="s">
        <v>488</v>
      </c>
      <c r="X416" s="293" t="s">
        <v>491</v>
      </c>
      <c r="Y416" s="293" t="s">
        <v>490</v>
      </c>
      <c r="Z416" s="293">
        <v>5</v>
      </c>
      <c r="AA416" s="293" t="s">
        <v>489</v>
      </c>
      <c r="AB416" s="341" t="s">
        <v>439</v>
      </c>
      <c r="AC416" s="341">
        <v>1</v>
      </c>
      <c r="AD416" s="341" t="s">
        <v>463</v>
      </c>
      <c r="AE416" s="301">
        <v>2</v>
      </c>
      <c r="AF416" s="349" t="s">
        <v>464</v>
      </c>
    </row>
    <row r="417" spans="8:32">
      <c r="H417" s="347" t="s">
        <v>299</v>
      </c>
      <c r="I417" s="341" t="s">
        <v>462</v>
      </c>
      <c r="J417" s="350"/>
      <c r="K417" s="350"/>
      <c r="L417" s="350"/>
      <c r="M417" s="341" t="s">
        <v>445</v>
      </c>
      <c r="N417" s="341">
        <v>0.18</v>
      </c>
      <c r="O417" s="351" t="s">
        <v>464</v>
      </c>
      <c r="P417" s="341">
        <v>100</v>
      </c>
      <c r="Q417" s="341" t="s">
        <v>435</v>
      </c>
      <c r="R417" s="341">
        <v>20</v>
      </c>
      <c r="S417" s="341">
        <v>1</v>
      </c>
      <c r="T417" s="341" t="s">
        <v>440</v>
      </c>
      <c r="U417" s="341">
        <v>1</v>
      </c>
      <c r="V417" s="341" t="s">
        <v>478</v>
      </c>
      <c r="W417" s="341" t="s">
        <v>488</v>
      </c>
      <c r="X417" s="293" t="s">
        <v>491</v>
      </c>
      <c r="Y417" s="293" t="s">
        <v>490</v>
      </c>
      <c r="Z417" s="293">
        <v>5</v>
      </c>
      <c r="AA417" s="293" t="s">
        <v>489</v>
      </c>
      <c r="AB417" s="341" t="s">
        <v>439</v>
      </c>
      <c r="AC417" s="341">
        <v>1</v>
      </c>
      <c r="AD417" s="341" t="s">
        <v>463</v>
      </c>
      <c r="AE417" s="301">
        <v>2</v>
      </c>
      <c r="AF417" s="349" t="s">
        <v>464</v>
      </c>
    </row>
    <row r="418" spans="8:32">
      <c r="H418" s="347" t="s">
        <v>123</v>
      </c>
      <c r="I418" s="341" t="s">
        <v>462</v>
      </c>
      <c r="J418" s="350"/>
      <c r="K418" s="350"/>
      <c r="L418" s="350"/>
      <c r="M418" s="341" t="s">
        <v>445</v>
      </c>
      <c r="N418" s="341">
        <v>0.18</v>
      </c>
      <c r="O418" s="351" t="s">
        <v>464</v>
      </c>
      <c r="P418" s="341">
        <v>100</v>
      </c>
      <c r="Q418" s="341" t="s">
        <v>435</v>
      </c>
      <c r="R418" s="341">
        <v>20</v>
      </c>
      <c r="S418" s="341">
        <v>1</v>
      </c>
      <c r="T418" s="341" t="s">
        <v>440</v>
      </c>
      <c r="U418" s="341">
        <v>1</v>
      </c>
      <c r="V418" s="341" t="s">
        <v>478</v>
      </c>
      <c r="W418" s="341" t="s">
        <v>488</v>
      </c>
      <c r="X418" s="293" t="s">
        <v>491</v>
      </c>
      <c r="Y418" s="293" t="s">
        <v>490</v>
      </c>
      <c r="Z418" s="293">
        <v>5</v>
      </c>
      <c r="AA418" s="293" t="s">
        <v>489</v>
      </c>
      <c r="AB418" s="341" t="s">
        <v>439</v>
      </c>
      <c r="AC418" s="341">
        <v>1</v>
      </c>
      <c r="AD418" s="341" t="s">
        <v>463</v>
      </c>
      <c r="AE418" s="301">
        <v>2</v>
      </c>
      <c r="AF418" s="349" t="s">
        <v>464</v>
      </c>
    </row>
    <row r="419" spans="8:32">
      <c r="H419" s="344" t="s">
        <v>276</v>
      </c>
      <c r="I419" s="341" t="s">
        <v>462</v>
      </c>
      <c r="J419" s="350"/>
      <c r="K419" s="350"/>
      <c r="L419" s="350"/>
      <c r="M419" s="341" t="s">
        <v>445</v>
      </c>
      <c r="N419" s="341">
        <v>0.18</v>
      </c>
      <c r="O419" s="351" t="s">
        <v>464</v>
      </c>
      <c r="P419" s="341">
        <v>100</v>
      </c>
      <c r="Q419" s="341" t="s">
        <v>435</v>
      </c>
      <c r="R419" s="341">
        <v>20</v>
      </c>
      <c r="S419" s="341">
        <v>1</v>
      </c>
      <c r="T419" s="341" t="s">
        <v>440</v>
      </c>
      <c r="U419" s="341">
        <v>1</v>
      </c>
      <c r="V419" s="341" t="s">
        <v>478</v>
      </c>
      <c r="W419" s="341" t="s">
        <v>488</v>
      </c>
      <c r="X419" s="293" t="s">
        <v>491</v>
      </c>
      <c r="Y419" s="293" t="s">
        <v>490</v>
      </c>
      <c r="Z419" s="293">
        <v>5</v>
      </c>
      <c r="AA419" s="293" t="s">
        <v>489</v>
      </c>
      <c r="AB419" s="341" t="s">
        <v>439</v>
      </c>
      <c r="AC419" s="341">
        <v>1</v>
      </c>
      <c r="AD419" s="341" t="s">
        <v>463</v>
      </c>
      <c r="AE419" s="301">
        <v>2</v>
      </c>
      <c r="AF419" s="349" t="s">
        <v>464</v>
      </c>
    </row>
    <row r="420" spans="8:32">
      <c r="H420" s="344" t="s">
        <v>297</v>
      </c>
      <c r="I420" s="341" t="s">
        <v>462</v>
      </c>
      <c r="J420" s="350"/>
      <c r="K420" s="350"/>
      <c r="L420" s="350"/>
      <c r="M420" s="341" t="s">
        <v>445</v>
      </c>
      <c r="N420" s="341">
        <v>0.18</v>
      </c>
      <c r="O420" s="351" t="s">
        <v>464</v>
      </c>
      <c r="P420" s="341">
        <v>100</v>
      </c>
      <c r="Q420" s="341" t="s">
        <v>435</v>
      </c>
      <c r="R420" s="341">
        <v>20</v>
      </c>
      <c r="S420" s="341">
        <v>1</v>
      </c>
      <c r="T420" s="341" t="s">
        <v>440</v>
      </c>
      <c r="U420" s="341">
        <v>1</v>
      </c>
      <c r="V420" s="341" t="s">
        <v>478</v>
      </c>
      <c r="W420" s="341" t="s">
        <v>488</v>
      </c>
      <c r="X420" s="293" t="s">
        <v>491</v>
      </c>
      <c r="Y420" s="293" t="s">
        <v>490</v>
      </c>
      <c r="Z420" s="293">
        <v>5</v>
      </c>
      <c r="AA420" s="293" t="s">
        <v>489</v>
      </c>
      <c r="AB420" s="341" t="s">
        <v>439</v>
      </c>
      <c r="AC420" s="341">
        <v>3</v>
      </c>
      <c r="AD420" s="341" t="s">
        <v>463</v>
      </c>
      <c r="AE420" s="301">
        <v>2</v>
      </c>
      <c r="AF420" s="349" t="s">
        <v>464</v>
      </c>
    </row>
    <row r="421" spans="8:32">
      <c r="H421" s="344" t="s">
        <v>296</v>
      </c>
      <c r="I421" s="341" t="s">
        <v>462</v>
      </c>
      <c r="J421" s="350"/>
      <c r="K421" s="350"/>
      <c r="L421" s="350"/>
      <c r="M421" s="341" t="s">
        <v>445</v>
      </c>
      <c r="N421" s="341">
        <v>0.18</v>
      </c>
      <c r="O421" s="351" t="s">
        <v>464</v>
      </c>
      <c r="P421" s="341">
        <v>100</v>
      </c>
      <c r="Q421" s="341" t="s">
        <v>435</v>
      </c>
      <c r="R421" s="341">
        <v>20</v>
      </c>
      <c r="S421" s="341">
        <v>1</v>
      </c>
      <c r="T421" s="341" t="s">
        <v>440</v>
      </c>
      <c r="U421" s="341">
        <v>1</v>
      </c>
      <c r="V421" s="341" t="s">
        <v>478</v>
      </c>
      <c r="W421" s="341" t="s">
        <v>488</v>
      </c>
      <c r="X421" s="293" t="s">
        <v>491</v>
      </c>
      <c r="Y421" s="293" t="s">
        <v>490</v>
      </c>
      <c r="Z421" s="293">
        <v>5</v>
      </c>
      <c r="AA421" s="293" t="s">
        <v>489</v>
      </c>
      <c r="AB421" s="341" t="s">
        <v>439</v>
      </c>
      <c r="AC421" s="341">
        <v>3</v>
      </c>
      <c r="AD421" s="341" t="s">
        <v>463</v>
      </c>
      <c r="AE421" s="301">
        <v>2</v>
      </c>
      <c r="AF421" s="349" t="s">
        <v>464</v>
      </c>
    </row>
    <row r="422" spans="8:32">
      <c r="H422" s="344" t="s">
        <v>295</v>
      </c>
      <c r="I422" s="341" t="s">
        <v>462</v>
      </c>
      <c r="J422" s="350"/>
      <c r="K422" s="350"/>
      <c r="L422" s="350"/>
      <c r="M422" s="341" t="s">
        <v>445</v>
      </c>
      <c r="N422" s="341">
        <v>0.18</v>
      </c>
      <c r="O422" s="351" t="s">
        <v>464</v>
      </c>
      <c r="P422" s="341">
        <v>100</v>
      </c>
      <c r="Q422" s="341" t="s">
        <v>435</v>
      </c>
      <c r="R422" s="341">
        <v>20</v>
      </c>
      <c r="S422" s="341">
        <v>1</v>
      </c>
      <c r="T422" s="341" t="s">
        <v>440</v>
      </c>
      <c r="U422" s="341">
        <v>1</v>
      </c>
      <c r="V422" s="341" t="s">
        <v>478</v>
      </c>
      <c r="W422" s="341" t="s">
        <v>488</v>
      </c>
      <c r="X422" s="293" t="s">
        <v>491</v>
      </c>
      <c r="Y422" s="293" t="s">
        <v>490</v>
      </c>
      <c r="Z422" s="293">
        <v>5</v>
      </c>
      <c r="AA422" s="293" t="s">
        <v>489</v>
      </c>
      <c r="AB422" s="341" t="s">
        <v>439</v>
      </c>
      <c r="AC422" s="341">
        <v>3</v>
      </c>
      <c r="AD422" s="341" t="s">
        <v>463</v>
      </c>
      <c r="AE422" s="301">
        <v>2</v>
      </c>
      <c r="AF422" s="349" t="s">
        <v>464</v>
      </c>
    </row>
    <row r="423" spans="8:32">
      <c r="H423" s="344" t="s">
        <v>294</v>
      </c>
      <c r="I423" s="341" t="s">
        <v>462</v>
      </c>
      <c r="J423" s="350"/>
      <c r="K423" s="350"/>
      <c r="L423" s="350"/>
      <c r="M423" s="341" t="s">
        <v>445</v>
      </c>
      <c r="N423" s="341">
        <v>0.18</v>
      </c>
      <c r="O423" s="351" t="s">
        <v>464</v>
      </c>
      <c r="P423" s="341">
        <v>100</v>
      </c>
      <c r="Q423" s="341" t="s">
        <v>435</v>
      </c>
      <c r="R423" s="341">
        <v>20</v>
      </c>
      <c r="S423" s="341">
        <v>1</v>
      </c>
      <c r="T423" s="341" t="s">
        <v>440</v>
      </c>
      <c r="U423" s="341">
        <v>1</v>
      </c>
      <c r="V423" s="341" t="s">
        <v>478</v>
      </c>
      <c r="W423" s="341" t="s">
        <v>488</v>
      </c>
      <c r="X423" s="293" t="s">
        <v>491</v>
      </c>
      <c r="Y423" s="293" t="s">
        <v>490</v>
      </c>
      <c r="Z423" s="293">
        <v>5</v>
      </c>
      <c r="AA423" s="293" t="s">
        <v>489</v>
      </c>
      <c r="AB423" s="341" t="s">
        <v>439</v>
      </c>
      <c r="AC423" s="341">
        <v>3</v>
      </c>
      <c r="AD423" s="341" t="s">
        <v>463</v>
      </c>
      <c r="AE423" s="301">
        <v>2</v>
      </c>
      <c r="AF423" s="349" t="s">
        <v>464</v>
      </c>
    </row>
    <row r="424" spans="8:32">
      <c r="H424" s="344" t="s">
        <v>293</v>
      </c>
      <c r="I424" s="341" t="s">
        <v>462</v>
      </c>
      <c r="J424" s="350"/>
      <c r="K424" s="350"/>
      <c r="L424" s="350"/>
      <c r="M424" s="341" t="s">
        <v>445</v>
      </c>
      <c r="N424" s="341">
        <v>0.18</v>
      </c>
      <c r="O424" s="351" t="s">
        <v>464</v>
      </c>
      <c r="P424" s="341">
        <v>100</v>
      </c>
      <c r="Q424" s="341" t="s">
        <v>435</v>
      </c>
      <c r="R424" s="341">
        <v>20</v>
      </c>
      <c r="S424" s="341">
        <v>1</v>
      </c>
      <c r="T424" s="341" t="s">
        <v>438</v>
      </c>
      <c r="U424" s="341">
        <v>1</v>
      </c>
      <c r="V424" s="341" t="s">
        <v>540</v>
      </c>
      <c r="W424" s="341" t="s">
        <v>541</v>
      </c>
      <c r="X424" s="341" t="s">
        <v>542</v>
      </c>
      <c r="Y424" s="341" t="s">
        <v>490</v>
      </c>
      <c r="Z424" s="293" t="s">
        <v>542</v>
      </c>
      <c r="AA424" s="293" t="s">
        <v>543</v>
      </c>
      <c r="AB424" s="341" t="s">
        <v>439</v>
      </c>
      <c r="AC424" s="341">
        <v>6</v>
      </c>
      <c r="AD424" s="341" t="s">
        <v>463</v>
      </c>
      <c r="AE424" s="301">
        <v>2</v>
      </c>
      <c r="AF424" s="349" t="s">
        <v>464</v>
      </c>
    </row>
    <row r="425" spans="8:32">
      <c r="H425" s="344" t="s">
        <v>292</v>
      </c>
      <c r="I425" s="341" t="s">
        <v>462</v>
      </c>
      <c r="J425" s="350"/>
      <c r="K425" s="350"/>
      <c r="L425" s="350"/>
      <c r="M425" s="341" t="s">
        <v>445</v>
      </c>
      <c r="N425" s="341">
        <v>0.18</v>
      </c>
      <c r="O425" s="351" t="s">
        <v>464</v>
      </c>
      <c r="P425" s="341">
        <v>100</v>
      </c>
      <c r="Q425" s="341" t="s">
        <v>435</v>
      </c>
      <c r="R425" s="341">
        <v>20</v>
      </c>
      <c r="S425" s="341">
        <v>1</v>
      </c>
      <c r="T425" s="341" t="s">
        <v>438</v>
      </c>
      <c r="U425" s="341">
        <v>1</v>
      </c>
      <c r="V425" s="341" t="s">
        <v>540</v>
      </c>
      <c r="W425" s="341" t="s">
        <v>541</v>
      </c>
      <c r="X425" s="341" t="s">
        <v>542</v>
      </c>
      <c r="Y425" s="341" t="s">
        <v>490</v>
      </c>
      <c r="Z425" s="293" t="s">
        <v>542</v>
      </c>
      <c r="AA425" s="293" t="s">
        <v>543</v>
      </c>
      <c r="AB425" s="341" t="s">
        <v>439</v>
      </c>
      <c r="AC425" s="341">
        <v>6</v>
      </c>
      <c r="AD425" s="341" t="s">
        <v>463</v>
      </c>
      <c r="AE425" s="301">
        <v>2</v>
      </c>
      <c r="AF425" s="349" t="s">
        <v>464</v>
      </c>
    </row>
    <row r="426" spans="8:32">
      <c r="H426" s="344" t="s">
        <v>291</v>
      </c>
      <c r="I426" s="341" t="s">
        <v>462</v>
      </c>
      <c r="J426" s="350"/>
      <c r="K426" s="350"/>
      <c r="L426" s="350"/>
      <c r="M426" s="341" t="s">
        <v>445</v>
      </c>
      <c r="N426" s="341">
        <v>0.18</v>
      </c>
      <c r="O426" s="351" t="s">
        <v>464</v>
      </c>
      <c r="P426" s="341">
        <v>100</v>
      </c>
      <c r="Q426" s="341" t="s">
        <v>435</v>
      </c>
      <c r="R426" s="341">
        <v>20</v>
      </c>
      <c r="S426" s="341">
        <v>1</v>
      </c>
      <c r="T426" s="341" t="s">
        <v>438</v>
      </c>
      <c r="U426" s="341">
        <v>1</v>
      </c>
      <c r="V426" s="341" t="s">
        <v>540</v>
      </c>
      <c r="W426" s="341" t="s">
        <v>541</v>
      </c>
      <c r="X426" s="341" t="s">
        <v>542</v>
      </c>
      <c r="Y426" s="341" t="s">
        <v>490</v>
      </c>
      <c r="Z426" s="293" t="s">
        <v>542</v>
      </c>
      <c r="AA426" s="293" t="s">
        <v>543</v>
      </c>
      <c r="AB426" s="341" t="s">
        <v>439</v>
      </c>
      <c r="AC426" s="341">
        <v>6</v>
      </c>
      <c r="AD426" s="341" t="s">
        <v>463</v>
      </c>
      <c r="AE426" s="301">
        <v>2</v>
      </c>
      <c r="AF426" s="349" t="s">
        <v>464</v>
      </c>
    </row>
    <row r="427" spans="8:32">
      <c r="H427" s="344" t="s">
        <v>290</v>
      </c>
      <c r="I427" s="341" t="s">
        <v>462</v>
      </c>
      <c r="J427" s="350"/>
      <c r="K427" s="350"/>
      <c r="L427" s="350"/>
      <c r="M427" s="341" t="s">
        <v>445</v>
      </c>
      <c r="N427" s="341">
        <v>0.18</v>
      </c>
      <c r="O427" s="351" t="s">
        <v>464</v>
      </c>
      <c r="P427" s="341">
        <v>100</v>
      </c>
      <c r="Q427" s="341" t="s">
        <v>435</v>
      </c>
      <c r="R427" s="341">
        <v>20</v>
      </c>
      <c r="S427" s="341">
        <v>1</v>
      </c>
      <c r="T427" s="341" t="s">
        <v>438</v>
      </c>
      <c r="U427" s="341">
        <v>1</v>
      </c>
      <c r="V427" s="341" t="s">
        <v>540</v>
      </c>
      <c r="W427" s="341" t="s">
        <v>541</v>
      </c>
      <c r="X427" s="341" t="s">
        <v>542</v>
      </c>
      <c r="Y427" s="341" t="s">
        <v>490</v>
      </c>
      <c r="Z427" s="293" t="s">
        <v>542</v>
      </c>
      <c r="AA427" s="293" t="s">
        <v>543</v>
      </c>
      <c r="AB427" s="341" t="s">
        <v>439</v>
      </c>
      <c r="AC427" s="341">
        <v>6</v>
      </c>
      <c r="AD427" s="341" t="s">
        <v>463</v>
      </c>
      <c r="AE427" s="301">
        <v>2</v>
      </c>
      <c r="AF427" s="349" t="s">
        <v>464</v>
      </c>
    </row>
    <row r="428" spans="8:32">
      <c r="H428" s="344" t="s">
        <v>289</v>
      </c>
      <c r="I428" s="341" t="s">
        <v>462</v>
      </c>
      <c r="J428" s="350"/>
      <c r="K428" s="350"/>
      <c r="L428" s="350"/>
      <c r="M428" s="341" t="s">
        <v>445</v>
      </c>
      <c r="N428" s="341">
        <v>0.18</v>
      </c>
      <c r="O428" s="351" t="s">
        <v>464</v>
      </c>
      <c r="P428" s="341">
        <v>100</v>
      </c>
      <c r="Q428" s="341" t="s">
        <v>435</v>
      </c>
      <c r="R428" s="341">
        <v>20</v>
      </c>
      <c r="S428" s="341">
        <v>1</v>
      </c>
      <c r="T428" s="341" t="s">
        <v>438</v>
      </c>
      <c r="U428" s="341">
        <v>1</v>
      </c>
      <c r="V428" s="341" t="s">
        <v>540</v>
      </c>
      <c r="W428" s="341" t="s">
        <v>541</v>
      </c>
      <c r="X428" s="341" t="s">
        <v>542</v>
      </c>
      <c r="Y428" s="341" t="s">
        <v>490</v>
      </c>
      <c r="Z428" s="293" t="s">
        <v>542</v>
      </c>
      <c r="AA428" s="293" t="s">
        <v>543</v>
      </c>
      <c r="AB428" s="341" t="s">
        <v>439</v>
      </c>
      <c r="AC428" s="341">
        <v>6</v>
      </c>
      <c r="AD428" s="341" t="s">
        <v>463</v>
      </c>
      <c r="AE428" s="301">
        <v>2</v>
      </c>
      <c r="AF428" s="349" t="s">
        <v>464</v>
      </c>
    </row>
    <row r="429" spans="8:32">
      <c r="H429" s="344" t="s">
        <v>288</v>
      </c>
      <c r="I429" s="341" t="s">
        <v>462</v>
      </c>
      <c r="J429" s="350"/>
      <c r="K429" s="350"/>
      <c r="L429" s="350"/>
      <c r="M429" s="341" t="s">
        <v>445</v>
      </c>
      <c r="N429" s="341">
        <v>0.18</v>
      </c>
      <c r="O429" s="351" t="s">
        <v>464</v>
      </c>
      <c r="P429" s="341">
        <v>100</v>
      </c>
      <c r="Q429" s="341" t="s">
        <v>435</v>
      </c>
      <c r="R429" s="341">
        <v>20</v>
      </c>
      <c r="S429" s="341">
        <v>1</v>
      </c>
      <c r="T429" s="341" t="s">
        <v>438</v>
      </c>
      <c r="U429" s="341">
        <v>1</v>
      </c>
      <c r="V429" s="341" t="s">
        <v>540</v>
      </c>
      <c r="W429" s="341" t="s">
        <v>541</v>
      </c>
      <c r="X429" s="341" t="s">
        <v>542</v>
      </c>
      <c r="Y429" s="341" t="s">
        <v>490</v>
      </c>
      <c r="Z429" s="293" t="s">
        <v>542</v>
      </c>
      <c r="AA429" s="293" t="s">
        <v>543</v>
      </c>
      <c r="AB429" s="341" t="s">
        <v>439</v>
      </c>
      <c r="AC429" s="341">
        <v>6</v>
      </c>
      <c r="AD429" s="341" t="s">
        <v>463</v>
      </c>
      <c r="AE429" s="301">
        <v>2</v>
      </c>
      <c r="AF429" s="349" t="s">
        <v>464</v>
      </c>
    </row>
    <row r="430" spans="8:32">
      <c r="H430" s="344" t="s">
        <v>287</v>
      </c>
      <c r="I430" s="341" t="s">
        <v>462</v>
      </c>
      <c r="J430" s="350"/>
      <c r="K430" s="350"/>
      <c r="L430" s="350"/>
      <c r="M430" s="341" t="s">
        <v>445</v>
      </c>
      <c r="N430" s="341">
        <v>0.18</v>
      </c>
      <c r="O430" s="351" t="s">
        <v>464</v>
      </c>
      <c r="P430" s="341">
        <v>100</v>
      </c>
      <c r="Q430" s="341" t="s">
        <v>435</v>
      </c>
      <c r="R430" s="341">
        <v>20</v>
      </c>
      <c r="S430" s="341">
        <v>1</v>
      </c>
      <c r="T430" s="341" t="s">
        <v>440</v>
      </c>
      <c r="U430" s="341">
        <v>1</v>
      </c>
      <c r="V430" s="341" t="s">
        <v>478</v>
      </c>
      <c r="W430" s="341" t="s">
        <v>488</v>
      </c>
      <c r="X430" s="293" t="s">
        <v>491</v>
      </c>
      <c r="Y430" s="293" t="s">
        <v>490</v>
      </c>
      <c r="Z430" s="293">
        <v>5</v>
      </c>
      <c r="AA430" s="293" t="s">
        <v>489</v>
      </c>
      <c r="AB430" s="341" t="s">
        <v>439</v>
      </c>
      <c r="AC430" s="341">
        <v>3</v>
      </c>
      <c r="AD430" s="341" t="s">
        <v>463</v>
      </c>
      <c r="AE430" s="301">
        <v>2</v>
      </c>
      <c r="AF430" s="349" t="s">
        <v>464</v>
      </c>
    </row>
    <row r="431" spans="8:32">
      <c r="H431" s="344" t="s">
        <v>286</v>
      </c>
      <c r="I431" s="341" t="s">
        <v>462</v>
      </c>
      <c r="J431" s="350"/>
      <c r="K431" s="350"/>
      <c r="L431" s="350"/>
      <c r="M431" s="341" t="s">
        <v>445</v>
      </c>
      <c r="N431" s="341">
        <v>0.18</v>
      </c>
      <c r="O431" s="351" t="s">
        <v>464</v>
      </c>
      <c r="P431" s="341">
        <v>100</v>
      </c>
      <c r="Q431" s="341" t="s">
        <v>435</v>
      </c>
      <c r="R431" s="341">
        <v>20</v>
      </c>
      <c r="S431" s="341">
        <v>1</v>
      </c>
      <c r="T431" s="341" t="s">
        <v>440</v>
      </c>
      <c r="U431" s="341">
        <v>1</v>
      </c>
      <c r="V431" s="341" t="s">
        <v>478</v>
      </c>
      <c r="W431" s="341" t="s">
        <v>488</v>
      </c>
      <c r="X431" s="293" t="s">
        <v>491</v>
      </c>
      <c r="Y431" s="293" t="s">
        <v>490</v>
      </c>
      <c r="Z431" s="293">
        <v>5</v>
      </c>
      <c r="AA431" s="293" t="s">
        <v>489</v>
      </c>
      <c r="AB431" s="341" t="s">
        <v>439</v>
      </c>
      <c r="AC431" s="341">
        <v>3</v>
      </c>
      <c r="AD431" s="341" t="s">
        <v>463</v>
      </c>
      <c r="AE431" s="301">
        <v>2</v>
      </c>
      <c r="AF431" s="349" t="s">
        <v>464</v>
      </c>
    </row>
    <row r="432" spans="8:32">
      <c r="H432" s="344" t="s">
        <v>285</v>
      </c>
      <c r="I432" s="341" t="s">
        <v>462</v>
      </c>
      <c r="J432" s="350"/>
      <c r="K432" s="350"/>
      <c r="L432" s="350"/>
      <c r="M432" s="341" t="s">
        <v>445</v>
      </c>
      <c r="N432" s="341">
        <v>0.18</v>
      </c>
      <c r="O432" s="351" t="s">
        <v>464</v>
      </c>
      <c r="P432" s="341">
        <v>100</v>
      </c>
      <c r="Q432" s="341" t="s">
        <v>435</v>
      </c>
      <c r="R432" s="341">
        <v>20</v>
      </c>
      <c r="S432" s="341">
        <v>1</v>
      </c>
      <c r="T432" s="341" t="s">
        <v>440</v>
      </c>
      <c r="U432" s="341">
        <v>1</v>
      </c>
      <c r="V432" s="341" t="s">
        <v>478</v>
      </c>
      <c r="W432" s="341" t="s">
        <v>488</v>
      </c>
      <c r="X432" s="293" t="s">
        <v>491</v>
      </c>
      <c r="Y432" s="293" t="s">
        <v>490</v>
      </c>
      <c r="Z432" s="293">
        <v>5</v>
      </c>
      <c r="AA432" s="293" t="s">
        <v>489</v>
      </c>
      <c r="AB432" s="341" t="s">
        <v>439</v>
      </c>
      <c r="AC432" s="341">
        <v>3</v>
      </c>
      <c r="AD432" s="341" t="s">
        <v>463</v>
      </c>
      <c r="AE432" s="301">
        <v>2</v>
      </c>
      <c r="AF432" s="349" t="s">
        <v>464</v>
      </c>
    </row>
    <row r="433" spans="8:32">
      <c r="H433" s="344" t="s">
        <v>284</v>
      </c>
      <c r="I433" s="341" t="s">
        <v>462</v>
      </c>
      <c r="J433" s="350"/>
      <c r="K433" s="350"/>
      <c r="L433" s="350"/>
      <c r="M433" s="341" t="s">
        <v>445</v>
      </c>
      <c r="N433" s="341">
        <v>0.18</v>
      </c>
      <c r="O433" s="351" t="s">
        <v>464</v>
      </c>
      <c r="P433" s="341">
        <v>100</v>
      </c>
      <c r="Q433" s="341" t="s">
        <v>435</v>
      </c>
      <c r="R433" s="341">
        <v>20</v>
      </c>
      <c r="S433" s="341">
        <v>1</v>
      </c>
      <c r="T433" s="341" t="s">
        <v>440</v>
      </c>
      <c r="U433" s="341">
        <v>1</v>
      </c>
      <c r="V433" s="341" t="s">
        <v>478</v>
      </c>
      <c r="W433" s="341" t="s">
        <v>488</v>
      </c>
      <c r="X433" s="293" t="s">
        <v>491</v>
      </c>
      <c r="Y433" s="293" t="s">
        <v>490</v>
      </c>
      <c r="Z433" s="293">
        <v>5</v>
      </c>
      <c r="AA433" s="293" t="s">
        <v>489</v>
      </c>
      <c r="AB433" s="341" t="s">
        <v>439</v>
      </c>
      <c r="AC433" s="341">
        <v>3</v>
      </c>
      <c r="AD433" s="341" t="s">
        <v>463</v>
      </c>
      <c r="AE433" s="301">
        <v>2</v>
      </c>
      <c r="AF433" s="349" t="s">
        <v>464</v>
      </c>
    </row>
    <row r="434" spans="8:32">
      <c r="H434" s="344" t="s">
        <v>283</v>
      </c>
      <c r="I434" s="341" t="s">
        <v>462</v>
      </c>
      <c r="J434" s="350"/>
      <c r="K434" s="350"/>
      <c r="L434" s="350"/>
      <c r="M434" s="341" t="s">
        <v>445</v>
      </c>
      <c r="N434" s="341">
        <v>0.18</v>
      </c>
      <c r="O434" s="351" t="s">
        <v>464</v>
      </c>
      <c r="P434" s="341">
        <v>100</v>
      </c>
      <c r="Q434" s="341" t="s">
        <v>435</v>
      </c>
      <c r="R434" s="341">
        <v>20</v>
      </c>
      <c r="S434" s="341">
        <v>1</v>
      </c>
      <c r="T434" s="341" t="s">
        <v>438</v>
      </c>
      <c r="U434" s="341">
        <v>1</v>
      </c>
      <c r="V434" s="341" t="s">
        <v>540</v>
      </c>
      <c r="W434" s="341" t="s">
        <v>541</v>
      </c>
      <c r="X434" s="341" t="s">
        <v>542</v>
      </c>
      <c r="Y434" s="341" t="s">
        <v>490</v>
      </c>
      <c r="Z434" s="293" t="s">
        <v>542</v>
      </c>
      <c r="AA434" s="293" t="s">
        <v>543</v>
      </c>
      <c r="AB434" s="341" t="s">
        <v>439</v>
      </c>
      <c r="AC434" s="341">
        <v>6</v>
      </c>
      <c r="AD434" s="341" t="s">
        <v>463</v>
      </c>
      <c r="AE434" s="301">
        <v>2</v>
      </c>
      <c r="AF434" s="349" t="s">
        <v>464</v>
      </c>
    </row>
    <row r="435" spans="8:32">
      <c r="H435" s="344" t="s">
        <v>282</v>
      </c>
      <c r="I435" s="341" t="s">
        <v>462</v>
      </c>
      <c r="J435" s="350"/>
      <c r="K435" s="350"/>
      <c r="L435" s="350"/>
      <c r="M435" s="341" t="s">
        <v>445</v>
      </c>
      <c r="N435" s="341">
        <v>0.18</v>
      </c>
      <c r="O435" s="351" t="s">
        <v>464</v>
      </c>
      <c r="P435" s="341">
        <v>100</v>
      </c>
      <c r="Q435" s="341" t="s">
        <v>435</v>
      </c>
      <c r="R435" s="341">
        <v>20</v>
      </c>
      <c r="S435" s="341">
        <v>1</v>
      </c>
      <c r="T435" s="341" t="s">
        <v>438</v>
      </c>
      <c r="U435" s="341">
        <v>1</v>
      </c>
      <c r="V435" s="341" t="s">
        <v>540</v>
      </c>
      <c r="W435" s="341" t="s">
        <v>541</v>
      </c>
      <c r="X435" s="341" t="s">
        <v>542</v>
      </c>
      <c r="Y435" s="341" t="s">
        <v>490</v>
      </c>
      <c r="Z435" s="293" t="s">
        <v>542</v>
      </c>
      <c r="AA435" s="293" t="s">
        <v>543</v>
      </c>
      <c r="AB435" s="341" t="s">
        <v>439</v>
      </c>
      <c r="AC435" s="341">
        <v>6</v>
      </c>
      <c r="AD435" s="341" t="s">
        <v>463</v>
      </c>
      <c r="AE435" s="301">
        <v>2</v>
      </c>
      <c r="AF435" s="349" t="s">
        <v>464</v>
      </c>
    </row>
    <row r="436" spans="8:32">
      <c r="H436" s="344" t="s">
        <v>281</v>
      </c>
      <c r="I436" s="341" t="s">
        <v>462</v>
      </c>
      <c r="J436" s="350"/>
      <c r="K436" s="350"/>
      <c r="L436" s="350"/>
      <c r="M436" s="341" t="s">
        <v>445</v>
      </c>
      <c r="N436" s="341">
        <v>0.18</v>
      </c>
      <c r="O436" s="351" t="s">
        <v>464</v>
      </c>
      <c r="P436" s="341">
        <v>100</v>
      </c>
      <c r="Q436" s="341" t="s">
        <v>435</v>
      </c>
      <c r="R436" s="341">
        <v>20</v>
      </c>
      <c r="S436" s="341">
        <v>1</v>
      </c>
      <c r="T436" s="341" t="s">
        <v>438</v>
      </c>
      <c r="U436" s="341">
        <v>1</v>
      </c>
      <c r="V436" s="341" t="s">
        <v>540</v>
      </c>
      <c r="W436" s="341" t="s">
        <v>541</v>
      </c>
      <c r="X436" s="341" t="s">
        <v>542</v>
      </c>
      <c r="Y436" s="341" t="s">
        <v>490</v>
      </c>
      <c r="Z436" s="293" t="s">
        <v>542</v>
      </c>
      <c r="AA436" s="293" t="s">
        <v>543</v>
      </c>
      <c r="AB436" s="341" t="s">
        <v>439</v>
      </c>
      <c r="AC436" s="341">
        <v>6</v>
      </c>
      <c r="AD436" s="341" t="s">
        <v>463</v>
      </c>
      <c r="AE436" s="301">
        <v>2</v>
      </c>
      <c r="AF436" s="349" t="s">
        <v>464</v>
      </c>
    </row>
    <row r="437" spans="8:32">
      <c r="H437" s="344" t="s">
        <v>280</v>
      </c>
      <c r="I437" s="341" t="s">
        <v>462</v>
      </c>
      <c r="J437" s="350"/>
      <c r="K437" s="350"/>
      <c r="L437" s="350"/>
      <c r="M437" s="341" t="s">
        <v>445</v>
      </c>
      <c r="N437" s="341">
        <v>0.18</v>
      </c>
      <c r="O437" s="351" t="s">
        <v>464</v>
      </c>
      <c r="P437" s="341">
        <v>100</v>
      </c>
      <c r="Q437" s="341" t="s">
        <v>435</v>
      </c>
      <c r="R437" s="341">
        <v>20</v>
      </c>
      <c r="S437" s="341">
        <v>1</v>
      </c>
      <c r="T437" s="341" t="s">
        <v>438</v>
      </c>
      <c r="U437" s="341">
        <v>1</v>
      </c>
      <c r="V437" s="341" t="s">
        <v>540</v>
      </c>
      <c r="W437" s="341" t="s">
        <v>541</v>
      </c>
      <c r="X437" s="341" t="s">
        <v>542</v>
      </c>
      <c r="Y437" s="341" t="s">
        <v>490</v>
      </c>
      <c r="Z437" s="293" t="s">
        <v>542</v>
      </c>
      <c r="AA437" s="293" t="s">
        <v>543</v>
      </c>
      <c r="AB437" s="341" t="s">
        <v>439</v>
      </c>
      <c r="AC437" s="341">
        <v>6</v>
      </c>
      <c r="AD437" s="341" t="s">
        <v>463</v>
      </c>
      <c r="AE437" s="301">
        <v>2</v>
      </c>
      <c r="AF437" s="349" t="s">
        <v>464</v>
      </c>
    </row>
    <row r="438" spans="8:32">
      <c r="H438" s="344" t="s">
        <v>279</v>
      </c>
      <c r="I438" s="341" t="s">
        <v>462</v>
      </c>
      <c r="J438" s="350"/>
      <c r="K438" s="350"/>
      <c r="L438" s="350"/>
      <c r="M438" s="341" t="s">
        <v>445</v>
      </c>
      <c r="N438" s="341">
        <v>0.18</v>
      </c>
      <c r="O438" s="351" t="s">
        <v>464</v>
      </c>
      <c r="P438" s="341">
        <v>100</v>
      </c>
      <c r="Q438" s="341" t="s">
        <v>435</v>
      </c>
      <c r="R438" s="341">
        <v>20</v>
      </c>
      <c r="S438" s="341">
        <v>1</v>
      </c>
      <c r="T438" s="341" t="s">
        <v>438</v>
      </c>
      <c r="U438" s="341">
        <v>1</v>
      </c>
      <c r="V438" s="341" t="s">
        <v>540</v>
      </c>
      <c r="W438" s="341" t="s">
        <v>541</v>
      </c>
      <c r="X438" s="341" t="s">
        <v>542</v>
      </c>
      <c r="Y438" s="341" t="s">
        <v>490</v>
      </c>
      <c r="Z438" s="293" t="s">
        <v>542</v>
      </c>
      <c r="AA438" s="293" t="s">
        <v>543</v>
      </c>
      <c r="AB438" s="341" t="s">
        <v>439</v>
      </c>
      <c r="AC438" s="341">
        <v>6</v>
      </c>
      <c r="AD438" s="341" t="s">
        <v>463</v>
      </c>
      <c r="AE438" s="301">
        <v>2</v>
      </c>
      <c r="AF438" s="349" t="s">
        <v>464</v>
      </c>
    </row>
    <row r="439" spans="8:32" ht="14.25" thickBot="1">
      <c r="H439" s="227" t="s">
        <v>278</v>
      </c>
      <c r="I439" s="226" t="s">
        <v>462</v>
      </c>
      <c r="J439" s="255"/>
      <c r="K439" s="255"/>
      <c r="L439" s="255"/>
      <c r="M439" s="226" t="s">
        <v>445</v>
      </c>
      <c r="N439" s="226">
        <v>0.18</v>
      </c>
      <c r="O439" s="257" t="s">
        <v>464</v>
      </c>
      <c r="P439" s="226">
        <v>100</v>
      </c>
      <c r="Q439" s="226" t="s">
        <v>435</v>
      </c>
      <c r="R439" s="226">
        <v>20</v>
      </c>
      <c r="S439" s="226">
        <v>1</v>
      </c>
      <c r="T439" s="226" t="s">
        <v>438</v>
      </c>
      <c r="U439" s="226">
        <v>1</v>
      </c>
      <c r="V439" s="341" t="s">
        <v>540</v>
      </c>
      <c r="W439" s="341" t="s">
        <v>541</v>
      </c>
      <c r="X439" s="341" t="s">
        <v>542</v>
      </c>
      <c r="Y439" s="341" t="s">
        <v>490</v>
      </c>
      <c r="Z439" s="293" t="s">
        <v>542</v>
      </c>
      <c r="AA439" s="293" t="s">
        <v>543</v>
      </c>
      <c r="AB439" s="226" t="s">
        <v>439</v>
      </c>
      <c r="AC439" s="226">
        <v>6</v>
      </c>
      <c r="AD439" s="226" t="s">
        <v>463</v>
      </c>
      <c r="AE439" s="373">
        <v>2</v>
      </c>
      <c r="AF439" s="256" t="s">
        <v>464</v>
      </c>
    </row>
  </sheetData>
  <dataConsolidate/>
  <mergeCells count="18">
    <mergeCell ref="Q5:AA5"/>
    <mergeCell ref="H5:L5"/>
    <mergeCell ref="M5:P5"/>
    <mergeCell ref="AH6:AH9"/>
    <mergeCell ref="AI6:AI9"/>
    <mergeCell ref="AB5:AE5"/>
    <mergeCell ref="AK7:AK9"/>
    <mergeCell ref="AK6:AL6"/>
    <mergeCell ref="AJ6:AJ9"/>
    <mergeCell ref="AS7:AS9"/>
    <mergeCell ref="AL7:AL9"/>
    <mergeCell ref="AN7:AN9"/>
    <mergeCell ref="AM6:AS6"/>
    <mergeCell ref="AM7:AM9"/>
    <mergeCell ref="AO7:AO9"/>
    <mergeCell ref="AP7:AP9"/>
    <mergeCell ref="AQ7:AQ9"/>
    <mergeCell ref="AR7:AR9"/>
  </mergeCells>
  <phoneticPr fontId="10"/>
  <hyperlinks>
    <hyperlink ref="AI28" r:id="rId1"/>
    <hyperlink ref="AI22" r:id="rId2"/>
    <hyperlink ref="AI23" r:id="rId3"/>
    <hyperlink ref="AI24" r:id="rId4"/>
    <hyperlink ref="AI16" r:id="rId5"/>
    <hyperlink ref="AI17" r:id="rId6"/>
    <hyperlink ref="AI18" r:id="rId7"/>
    <hyperlink ref="AI20" r:id="rId8"/>
    <hyperlink ref="AI10" r:id="rId9"/>
    <hyperlink ref="AI11" r:id="rId10"/>
    <hyperlink ref="AI12" r:id="rId11"/>
    <hyperlink ref="AI13" r:id="rId12"/>
    <hyperlink ref="AI14" r:id="rId13"/>
    <hyperlink ref="AI15" r:id="rId14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条件表</vt:lpstr>
      <vt:lpstr>Sheet1</vt:lpstr>
      <vt:lpstr>Sheet2</vt:lpstr>
      <vt:lpstr>ｺﾒﾝﾄ</vt:lpstr>
      <vt:lpstr>処理方法</vt:lpstr>
      <vt:lpstr>表面粗さﾃﾞｰﾀ(JIS1994)</vt:lpstr>
      <vt:lpstr>社内用</vt:lpstr>
      <vt:lpstr>社内用(2)</vt:lpstr>
      <vt:lpstr>(社内用)表面粗さ計測条件記入ｼｰﾄ </vt:lpstr>
      <vt:lpstr>【変更不可】</vt:lpstr>
      <vt:lpstr>'(社内用)表面粗さ計測条件記入ｼｰﾄ '!Print_Area</vt:lpstr>
      <vt:lpstr>ｺﾒﾝﾄ!Print_Area</vt:lpstr>
      <vt:lpstr>条件表!Print_Area</vt:lpstr>
      <vt:lpstr>【変更不可】!研磨材名称</vt:lpstr>
      <vt:lpstr>条件表!研磨材名称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m_ogata</dc:creator>
  <cp:lastModifiedBy>葉 澤賢</cp:lastModifiedBy>
  <cp:lastPrinted>2020-04-02T07:36:45Z</cp:lastPrinted>
  <dcterms:created xsi:type="dcterms:W3CDTF">2013-09-18T00:21:08Z</dcterms:created>
  <dcterms:modified xsi:type="dcterms:W3CDTF">2022-04-07T08:43:35Z</dcterms:modified>
  <cp:contentStatus/>
</cp:coreProperties>
</file>